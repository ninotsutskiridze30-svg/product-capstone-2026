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Calculations" sheetId="3" state="visible" r:id="rId5"/>
    <sheet name="Outpu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Type exactly: Best, Expected, or Worst
This controls which column the Calculations sheet reads.</t>
        </r>
      </text>
    </comment>
    <comment ref="B6" authorId="0">
      <text>
        <r>
          <rPr>
            <sz val="10"/>
            <rFont val="Arial"/>
            <family val="2"/>
          </rPr>
          <t xml:space="preserve">Source: CS-PD-2026 sprint arc Apr–Jun 2026 + 6 mo post-course estimate</t>
        </r>
      </text>
    </comment>
    <comment ref="B8" authorId="0">
      <text>
        <r>
          <rPr>
            <sz val="10"/>
            <rFont val="Arial"/>
            <family val="2"/>
          </rPr>
          <t xml:space="preserve">Source: SaaS benchmark; no COGS except Supabase/Vercel hosting ~$20/mo at MVP scale. Gross margin = (Rev - infra cost) / Rev. Estimate conservative at 80%.</t>
        </r>
      </text>
    </comment>
    <comment ref="B9" authorId="0">
      <text>
        <r>
          <rPr>
            <sz val="10"/>
            <rFont val="Arial"/>
            <family val="2"/>
          </rPr>
          <t xml:space="preserve">Source: Industry benchmark for consumer marketplace apps; adjusted down from 24mo given student cohort turnover each semester.</t>
        </r>
      </text>
    </comment>
    <comment ref="B10" authorId="0">
      <text>
        <r>
          <rPr>
            <sz val="10"/>
            <rFont val="Arial"/>
            <family val="2"/>
          </rPr>
          <t xml:space="preserve">Source: Estimate. Tutoring need is semester-specific; expect ~5% monthly churn as students complete courses.</t>
        </r>
      </text>
    </comment>
    <comment ref="B14" authorId="0">
      <text>
        <r>
          <rPr>
            <sz val="10"/>
            <rFont val="Arial"/>
            <family val="2"/>
          </rPr>
          <t xml:space="preserve">Source: Team capacity — 10 contacts per member per sprint. 4 members × 10 = 40 expected. Interview 4 (SN) confirmed international students are highest-pain segment.</t>
        </r>
      </text>
    </comment>
    <comment ref="B15" authorId="0">
      <text>
        <r>
          <rPr>
            <sz val="10"/>
            <rFont val="Arial"/>
            <family val="2"/>
          </rPr>
          <t xml:space="preserve">Source: Smoke test estimate. WhatsApp direct link from coordinator = warm referral; 60% expected open rate.</t>
        </r>
      </text>
    </comment>
    <comment ref="B16" authorId="0">
      <text>
        <r>
          <rPr>
            <sz val="10"/>
            <rFont val="Arial"/>
            <family val="2"/>
          </rPr>
          <t xml:space="preserve">Source: Experiment plan success threshold = 25%. Worst = below failure threshold. Best = strong product-market fit signal.</t>
        </r>
      </text>
    </comment>
    <comment ref="B18" authorId="0">
      <text>
        <r>
          <rPr>
            <sz val="10"/>
            <rFont val="Arial"/>
            <family val="2"/>
          </rPr>
          <t xml:space="preserve">Source: Estimate. Growth from word-of-mouth among international cohort after initial seeding. Constrained by cohort size (~200 international students at KIU per year).</t>
        </r>
      </text>
    </comment>
    <comment ref="B22" authorId="0">
      <text>
        <r>
          <rPr>
            <sz val="10"/>
            <rFont val="Arial"/>
            <family val="2"/>
          </rPr>
          <t xml:space="preserve">Source: Growth strategy Sprint 2 plan — each member posts in 2 group chats per week. 4 members × 2 posts = 8 expected.</t>
        </r>
      </text>
    </comment>
    <comment ref="B23" authorId="0">
      <text>
        <r>
          <rPr>
            <sz val="10"/>
            <rFont val="Arial"/>
            <family val="2"/>
          </rPr>
          <t xml:space="preserve">Source: KIU CS group chat ~180 members (Luka estimate); Business group ~200 members. Expected reach per post = 150 assuming 75% active readers.</t>
        </r>
      </text>
    </comment>
    <comment ref="B24" authorId="0">
      <text>
        <r>
          <rPr>
            <sz val="10"/>
            <rFont val="Arial"/>
            <family val="2"/>
          </rPr>
          <t xml:space="preserve">Source: Benchmark for peer WhatsApp group CTR on useful tool links: 10-15%. Lower end for cold posts; upper end for warm personal message.</t>
        </r>
      </text>
    </comment>
    <comment ref="B25" authorId="0">
      <text>
        <r>
          <rPr>
            <sz val="10"/>
            <rFont val="Arial"/>
            <family val="2"/>
          </rPr>
          <t xml:space="preserve">Source: Experiment plan. Smoke test 25% threshold = expected. Click is warm intent signal → higher than cold channel conversion.</t>
        </r>
      </text>
    </comment>
    <comment ref="B27" authorId="0">
      <text>
        <r>
          <rPr>
            <sz val="10"/>
            <rFont val="Arial"/>
            <family val="2"/>
          </rPr>
          <t xml:space="preserve">Source: Group chat posting is roughly linear; slight growth as team expands into more group chats in Sprint 3.</t>
        </r>
      </text>
    </comment>
    <comment ref="B31" authorId="0">
      <text>
        <r>
          <rPr>
            <sz val="10"/>
            <rFont val="Arial"/>
            <family val="2"/>
          </rPr>
          <t xml:space="preserve">Source: Sprint 2 plan — Mari and Lizi personally onboard tutors. Minimum viable supply threshold = 15 (from loops-and-moats.md). Interview 5 (MT) + referral network.</t>
        </r>
      </text>
    </comment>
    <comment ref="B32" authorId="0">
      <text>
        <r>
          <rPr>
            <sz val="10"/>
            <rFont val="Arial"/>
            <family val="2"/>
          </rPr>
          <t xml:space="preserve">Source: Interview 5 (MT): declines 4-5 students per week. Expected: 3 redirected to TutorLink per tutor per month (conservative; many declined students won't follow the link).</t>
        </r>
      </text>
    </comment>
    <comment ref="B33" authorId="0">
      <text>
        <r>
          <rPr>
            <sz val="10"/>
            <rFont val="Arial"/>
            <family val="2"/>
          </rPr>
          <t xml:space="preserve">Source: Loops and moats analysis. Tutor referral = highest-trust channel (personal vouching). K-factor estimate uses 40% conversion. Interview 1 (TK): converted on personal vouching immediately.</t>
        </r>
      </text>
    </comment>
    <comment ref="B35" authorId="0">
      <text>
        <r>
          <rPr>
            <sz val="10"/>
            <rFont val="Arial"/>
            <family val="2"/>
          </rPr>
          <t xml:space="preserve">Source: Growth compounds as more tutors join and each tutor's student base grows. Network effects kick in above 15 tutor threshold.</t>
        </r>
      </text>
    </comment>
    <comment ref="B39" authorId="0">
      <text>
        <r>
          <rPr>
            <sz val="10"/>
            <rFont val="Arial"/>
            <family val="2"/>
          </rPr>
          <t xml:space="preserve">Source: Unit economics template. Tutor pays for visibility. Expected = 30 GEL/mo (~$11). Below market SaaS but appropriate for Georgian tutor income levels (tutors charge 30-50 GEL/hr).</t>
        </r>
      </text>
    </comment>
    <comment ref="B40" authorId="0">
      <text>
        <r>
          <rPr>
            <sz val="10"/>
            <rFont val="Arial"/>
            <family val="2"/>
          </rPr>
          <t xml:space="preserve">Source: Benchmark: 20-30% freemium-to-paid conversion for B2B tools where ROI is clear. Tutors earn 30+ GEL/hr; 30 GEL/mo pays back in one session hour.</t>
        </r>
      </text>
    </comment>
    <comment ref="B41" authorId="0">
      <text>
        <r>
          <rPr>
            <sz val="10"/>
            <rFont val="Arial"/>
            <family val="2"/>
          </rPr>
          <t xml:space="preserve">Source: Students use TutorLink for free at MVP. ARPU proxy = 0 until advertising or premium tier added post-course.</t>
        </r>
      </text>
    </comment>
    <comment ref="B42" authorId="0">
      <text>
        <r>
          <rPr>
            <sz val="10"/>
            <rFont val="Arial"/>
            <family val="2"/>
          </rPr>
          <t xml:space="preserve">Source: Estimate. Time cost only (no ad spend). 2 hours team time for coordinator meeting @ 15 GEL/hr equivalent = 30 GEL for ~6 signups = 5 GEL per signup expected.</t>
        </r>
      </text>
    </comment>
    <comment ref="B43" authorId="0">
      <text>
        <r>
          <rPr>
            <sz val="10"/>
            <rFont val="Arial"/>
            <family val="2"/>
          </rPr>
          <t xml:space="preserve">Source: Estimate. 30 min/week team time × 4 members × 4 weeks = 8 hours. 8 hrs × 15 GEL = 120 GEL / ~40 signups = 3 GEL CAC.</t>
        </r>
      </text>
    </comment>
    <comment ref="B44" authorId="0">
      <text>
        <r>
          <rPr>
            <sz val="10"/>
            <rFont val="Arial"/>
            <family val="2"/>
          </rPr>
          <t xml:space="preserve">Source: Estimate. Near-zero direct cost; tutor onboarding time = ~1 hr per tutor by Mari. 1 hr × 15 GEL × 15 tutors / 45 referral signups = 5 GEL worst, 2 GEL expected.</t>
        </r>
      </text>
    </comment>
    <comment ref="C14" authorId="0">
      <text>
        <r>
          <rPr>
            <sz val="10"/>
            <rFont val="Arial"/>
            <family val="2"/>
          </rPr>
          <t xml:space="preserve">Source: Team capacity — 10 contacts per member per sprint. 4 members × 10 = 40 expected. Interview 4 (SN) confirmed international students are highest-pain segment.</t>
        </r>
      </text>
    </comment>
    <comment ref="C15" authorId="0">
      <text>
        <r>
          <rPr>
            <sz val="10"/>
            <rFont val="Arial"/>
            <family val="2"/>
          </rPr>
          <t xml:space="preserve">Source: Smoke test estimate. WhatsApp direct link from coordinator = warm referral; 60% expected open rate.</t>
        </r>
      </text>
    </comment>
    <comment ref="C16" authorId="0">
      <text>
        <r>
          <rPr>
            <sz val="10"/>
            <rFont val="Arial"/>
            <family val="2"/>
          </rPr>
          <t xml:space="preserve">Source: Experiment plan success threshold = 25%. Worst = below failure threshold. Best = strong product-market fit signal.</t>
        </r>
      </text>
    </comment>
    <comment ref="C18" authorId="0">
      <text>
        <r>
          <rPr>
            <sz val="10"/>
            <rFont val="Arial"/>
            <family val="2"/>
          </rPr>
          <t xml:space="preserve">Source: Estimate. Growth from word-of-mouth among international cohort after initial seeding. Constrained by cohort size (~200 international students at KIU per year).</t>
        </r>
      </text>
    </comment>
    <comment ref="C22" authorId="0">
      <text>
        <r>
          <rPr>
            <sz val="10"/>
            <rFont val="Arial"/>
            <family val="2"/>
          </rPr>
          <t xml:space="preserve">Source: Growth strategy Sprint 2 plan — each member posts in 2 group chats per week. 4 members × 2 posts = 8 expected.</t>
        </r>
      </text>
    </comment>
    <comment ref="C23" authorId="0">
      <text>
        <r>
          <rPr>
            <sz val="10"/>
            <rFont val="Arial"/>
            <family val="2"/>
          </rPr>
          <t xml:space="preserve">Source: KIU CS group chat ~180 members (Luka estimate); Business group ~200 members. Expected reach per post = 150 assuming 75% active readers.</t>
        </r>
      </text>
    </comment>
    <comment ref="C24" authorId="0">
      <text>
        <r>
          <rPr>
            <sz val="10"/>
            <rFont val="Arial"/>
            <family val="2"/>
          </rPr>
          <t xml:space="preserve">Source: Benchmark for peer WhatsApp group CTR on useful tool links: 10-15%. Lower end for cold posts; upper end for warm personal message.</t>
        </r>
      </text>
    </comment>
    <comment ref="C25" authorId="0">
      <text>
        <r>
          <rPr>
            <sz val="10"/>
            <rFont val="Arial"/>
            <family val="2"/>
          </rPr>
          <t xml:space="preserve">Source: Experiment plan. Smoke test 25% threshold = expected. Click is warm intent signal → higher than cold channel conversion.</t>
        </r>
      </text>
    </comment>
    <comment ref="C27" authorId="0">
      <text>
        <r>
          <rPr>
            <sz val="10"/>
            <rFont val="Arial"/>
            <family val="2"/>
          </rPr>
          <t xml:space="preserve">Source: Group chat posting is roughly linear; slight growth as team expands into more group chats in Sprint 3.</t>
        </r>
      </text>
    </comment>
    <comment ref="C31" authorId="0">
      <text>
        <r>
          <rPr>
            <sz val="10"/>
            <rFont val="Arial"/>
            <family val="2"/>
          </rPr>
          <t xml:space="preserve">Source: Sprint 2 plan — Mari and Lizi personally onboard tutors. Minimum viable supply threshold = 15 (from loops-and-moats.md). Interview 5 (MT) + referral network.</t>
        </r>
      </text>
    </comment>
    <comment ref="C32" authorId="0">
      <text>
        <r>
          <rPr>
            <sz val="10"/>
            <rFont val="Arial"/>
            <family val="2"/>
          </rPr>
          <t xml:space="preserve">Source: Interview 5 (MT): declines 4-5 students per week. Expected: 3 redirected to TutorLink per tutor per month (conservative; many declined students won't follow the link).</t>
        </r>
      </text>
    </comment>
    <comment ref="C33" authorId="0">
      <text>
        <r>
          <rPr>
            <sz val="10"/>
            <rFont val="Arial"/>
            <family val="2"/>
          </rPr>
          <t xml:space="preserve">Source: Loops and moats analysis. Tutor referral = highest-trust channel (personal vouching). K-factor estimate uses 40% conversion. Interview 1 (TK): converted on personal vouching immediately.</t>
        </r>
      </text>
    </comment>
    <comment ref="C35" authorId="0">
      <text>
        <r>
          <rPr>
            <sz val="10"/>
            <rFont val="Arial"/>
            <family val="2"/>
          </rPr>
          <t xml:space="preserve">Source: Growth compounds as more tutors join and each tutor's student base grows. Network effects kick in above 15 tutor threshold.</t>
        </r>
      </text>
    </comment>
    <comment ref="C39" authorId="0">
      <text>
        <r>
          <rPr>
            <sz val="10"/>
            <rFont val="Arial"/>
            <family val="2"/>
          </rPr>
          <t xml:space="preserve">Source: Unit economics template. Tutor pays for visibility. Expected = 30 GEL/mo (~$11). Below market SaaS but appropriate for Georgian tutor income levels (tutors charge 30-50 GEL/hr).</t>
        </r>
      </text>
    </comment>
    <comment ref="C40" authorId="0">
      <text>
        <r>
          <rPr>
            <sz val="10"/>
            <rFont val="Arial"/>
            <family val="2"/>
          </rPr>
          <t xml:space="preserve">Source: Benchmark: 20-30% freemium-to-paid conversion for B2B tools where ROI is clear. Tutors earn 30+ GEL/hr; 30 GEL/mo pays back in one session hour.</t>
        </r>
      </text>
    </comment>
    <comment ref="C41" authorId="0">
      <text>
        <r>
          <rPr>
            <sz val="10"/>
            <rFont val="Arial"/>
            <family val="2"/>
          </rPr>
          <t xml:space="preserve">Source: Students use TutorLink for free at MVP. ARPU proxy = 0 until advertising or premium tier added post-course.</t>
        </r>
      </text>
    </comment>
    <comment ref="C42" authorId="0">
      <text>
        <r>
          <rPr>
            <sz val="10"/>
            <rFont val="Arial"/>
            <family val="2"/>
          </rPr>
          <t xml:space="preserve">Source: Estimate. Time cost only (no ad spend). 2 hours team time for coordinator meeting @ 15 GEL/hr equivalent = 30 GEL for ~6 signups = 5 GEL per signup expected.</t>
        </r>
      </text>
    </comment>
    <comment ref="C43" authorId="0">
      <text>
        <r>
          <rPr>
            <sz val="10"/>
            <rFont val="Arial"/>
            <family val="2"/>
          </rPr>
          <t xml:space="preserve">Source: Estimate. 30 min/week team time × 4 members × 4 weeks = 8 hours. 8 hrs × 15 GEL = 120 GEL / ~40 signups = 3 GEL CAC.</t>
        </r>
      </text>
    </comment>
    <comment ref="C44" authorId="0">
      <text>
        <r>
          <rPr>
            <sz val="10"/>
            <rFont val="Arial"/>
            <family val="2"/>
          </rPr>
          <t xml:space="preserve">Source: Estimate. Near-zero direct cost; tutor onboarding time = ~1 hr per tutor by Mari. 1 hr × 15 GEL × 15 tutors / 45 referral signups = 5 GEL worst, 2 GEL expected.</t>
        </r>
      </text>
    </comment>
    <comment ref="D14" authorId="0">
      <text>
        <r>
          <rPr>
            <sz val="10"/>
            <rFont val="Arial"/>
            <family val="2"/>
          </rPr>
          <t xml:space="preserve">Source: Team capacity — 10 contacts per member per sprint. 4 members × 10 = 40 expected. Interview 4 (SN) confirmed international students are highest-pain segment.</t>
        </r>
      </text>
    </comment>
    <comment ref="D15" authorId="0">
      <text>
        <r>
          <rPr>
            <sz val="10"/>
            <rFont val="Arial"/>
            <family val="2"/>
          </rPr>
          <t xml:space="preserve">Source: Smoke test estimate. WhatsApp direct link from coordinator = warm referral; 60% expected open rate.</t>
        </r>
      </text>
    </comment>
    <comment ref="D16" authorId="0">
      <text>
        <r>
          <rPr>
            <sz val="10"/>
            <rFont val="Arial"/>
            <family val="2"/>
          </rPr>
          <t xml:space="preserve">Source: Experiment plan success threshold = 25%. Worst = below failure threshold. Best = strong product-market fit signal.</t>
        </r>
      </text>
    </comment>
    <comment ref="D18" authorId="0">
      <text>
        <r>
          <rPr>
            <sz val="10"/>
            <rFont val="Arial"/>
            <family val="2"/>
          </rPr>
          <t xml:space="preserve">Source: Estimate. Growth from word-of-mouth among international cohort after initial seeding. Constrained by cohort size (~200 international students at KIU per year).</t>
        </r>
      </text>
    </comment>
    <comment ref="D22" authorId="0">
      <text>
        <r>
          <rPr>
            <sz val="10"/>
            <rFont val="Arial"/>
            <family val="2"/>
          </rPr>
          <t xml:space="preserve">Source: Growth strategy Sprint 2 plan — each member posts in 2 group chats per week. 4 members × 2 posts = 8 expected.</t>
        </r>
      </text>
    </comment>
    <comment ref="D23" authorId="0">
      <text>
        <r>
          <rPr>
            <sz val="10"/>
            <rFont val="Arial"/>
            <family val="2"/>
          </rPr>
          <t xml:space="preserve">Source: KIU CS group chat ~180 members (Luka estimate); Business group ~200 members. Expected reach per post = 150 assuming 75% active readers.</t>
        </r>
      </text>
    </comment>
    <comment ref="D24" authorId="0">
      <text>
        <r>
          <rPr>
            <sz val="10"/>
            <rFont val="Arial"/>
            <family val="2"/>
          </rPr>
          <t xml:space="preserve">Source: Benchmark for peer WhatsApp group CTR on useful tool links: 10-15%. Lower end for cold posts; upper end for warm personal message.</t>
        </r>
      </text>
    </comment>
    <comment ref="D25" authorId="0">
      <text>
        <r>
          <rPr>
            <sz val="10"/>
            <rFont val="Arial"/>
            <family val="2"/>
          </rPr>
          <t xml:space="preserve">Source: Experiment plan. Smoke test 25% threshold = expected. Click is warm intent signal → higher than cold channel conversion.</t>
        </r>
      </text>
    </comment>
    <comment ref="D27" authorId="0">
      <text>
        <r>
          <rPr>
            <sz val="10"/>
            <rFont val="Arial"/>
            <family val="2"/>
          </rPr>
          <t xml:space="preserve">Source: Group chat posting is roughly linear; slight growth as team expands into more group chats in Sprint 3.</t>
        </r>
      </text>
    </comment>
    <comment ref="D31" authorId="0">
      <text>
        <r>
          <rPr>
            <sz val="10"/>
            <rFont val="Arial"/>
            <family val="2"/>
          </rPr>
          <t xml:space="preserve">Source: Sprint 2 plan — Mari and Lizi personally onboard tutors. Minimum viable supply threshold = 15 (from loops-and-moats.md). Interview 5 (MT) + referral network.</t>
        </r>
      </text>
    </comment>
    <comment ref="D32" authorId="0">
      <text>
        <r>
          <rPr>
            <sz val="10"/>
            <rFont val="Arial"/>
            <family val="2"/>
          </rPr>
          <t xml:space="preserve">Source: Interview 5 (MT): declines 4-5 students per week. Expected: 3 redirected to TutorLink per tutor per month (conservative; many declined students won't follow the link).</t>
        </r>
      </text>
    </comment>
    <comment ref="D33" authorId="0">
      <text>
        <r>
          <rPr>
            <sz val="10"/>
            <rFont val="Arial"/>
            <family val="2"/>
          </rPr>
          <t xml:space="preserve">Source: Loops and moats analysis. Tutor referral = highest-trust channel (personal vouching). K-factor estimate uses 40% conversion. Interview 1 (TK): converted on personal vouching immediately.</t>
        </r>
      </text>
    </comment>
    <comment ref="D35" authorId="0">
      <text>
        <r>
          <rPr>
            <sz val="10"/>
            <rFont val="Arial"/>
            <family val="2"/>
          </rPr>
          <t xml:space="preserve">Source: Growth compounds as more tutors join and each tutor's student base grows. Network effects kick in above 15 tutor threshold.</t>
        </r>
      </text>
    </comment>
    <comment ref="D39" authorId="0">
      <text>
        <r>
          <rPr>
            <sz val="10"/>
            <rFont val="Arial"/>
            <family val="2"/>
          </rPr>
          <t xml:space="preserve">Source: Unit economics template. Tutor pays for visibility. Expected = 30 GEL/mo (~$11). Below market SaaS but appropriate for Georgian tutor income levels (tutors charge 30-50 GEL/hr).</t>
        </r>
      </text>
    </comment>
    <comment ref="D40" authorId="0">
      <text>
        <r>
          <rPr>
            <sz val="10"/>
            <rFont val="Arial"/>
            <family val="2"/>
          </rPr>
          <t xml:space="preserve">Source: Benchmark: 20-30% freemium-to-paid conversion for B2B tools where ROI is clear. Tutors earn 30+ GEL/hr; 30 GEL/mo pays back in one session hour.</t>
        </r>
      </text>
    </comment>
    <comment ref="D41" authorId="0">
      <text>
        <r>
          <rPr>
            <sz val="10"/>
            <rFont val="Arial"/>
            <family val="2"/>
          </rPr>
          <t xml:space="preserve">Source: Students use TutorLink for free at MVP. ARPU proxy = 0 until advertising or premium tier added post-course.</t>
        </r>
      </text>
    </comment>
    <comment ref="D42" authorId="0">
      <text>
        <r>
          <rPr>
            <sz val="10"/>
            <rFont val="Arial"/>
            <family val="2"/>
          </rPr>
          <t xml:space="preserve">Source: Estimate. Time cost only (no ad spend). 2 hours team time for coordinator meeting @ 15 GEL/hr equivalent = 30 GEL for ~6 signups = 5 GEL per signup expected.</t>
        </r>
      </text>
    </comment>
    <comment ref="D43" authorId="0">
      <text>
        <r>
          <rPr>
            <sz val="10"/>
            <rFont val="Arial"/>
            <family val="2"/>
          </rPr>
          <t xml:space="preserve">Source: Estimate. 30 min/week team time × 4 members × 4 weeks = 8 hours. 8 hrs × 15 GEL = 120 GEL / ~40 signups = 3 GEL CAC.</t>
        </r>
      </text>
    </comment>
    <comment ref="D44" authorId="0">
      <text>
        <r>
          <rPr>
            <sz val="10"/>
            <rFont val="Arial"/>
            <family val="2"/>
          </rPr>
          <t xml:space="preserve">Source: Estimate. Near-zero direct cost; tutor onboarding time = ~1 hr per tutor by Mari. 1 hr × 15 GEL × 15 tutors / 45 referral signups = 5 GEL worst, 2 GEL expected.</t>
        </r>
      </text>
    </comment>
  </commentList>
</comments>
</file>

<file path=xl/sharedStrings.xml><?xml version="1.0" encoding="utf-8"?>
<sst xmlns="http://schemas.openxmlformats.org/spreadsheetml/2006/main" count="140" uniqueCount="104">
  <si>
    <t xml:space="preserve">Lab 10 -- Growth Projection Template</t>
  </si>
  <si>
    <t xml:space="preserve">How to use this template:</t>
  </si>
  <si>
    <t xml:space="preserve">1. Open the Inputs tab. Choose your scenario in cell B3 (Best, Expected, or Worst).</t>
  </si>
  <si>
    <t xml:space="preserve">2. Fill in the yellow cells with your team's assumptions for each of the three channels.</t>
  </si>
  <si>
    <t xml:space="preserve">3. Every yellow cell needs a source. Add a comment with the source for each.</t>
  </si>
  <si>
    <t xml:space="preserve">4. Open the Calculations tab. Do NOT edit -- all values are formulas.</t>
  </si>
  <si>
    <t xml:space="preserve">5. Open the Output tab. Review the cumulative users chart and the summary table.</t>
  </si>
  <si>
    <t xml:space="preserve">6. Switch the scenario in B3 of Inputs to see Best / Expected / Worst.</t>
  </si>
  <si>
    <t xml:space="preserve">7. Save the file as growth-projection.xlsx and commit to 04-gtm/financials/</t>
  </si>
  <si>
    <t xml:space="preserve">Color conventions used in this workbook:</t>
  </si>
  <si>
    <t xml:space="preserve">   Blue text = hardcoded input you can change</t>
  </si>
  <si>
    <t xml:space="preserve">   Black text = formula (do not edit directly)</t>
  </si>
  <si>
    <t xml:space="preserve">   Green text = cross-sheet reference</t>
  </si>
  <si>
    <t xml:space="preserve">   Yellow background = key assumption</t>
  </si>
  <si>
    <t xml:space="preserve">If you see any #REF, #DIV/0, or #VALUE errors, your inputs are likely empty.</t>
  </si>
  <si>
    <t xml:space="preserve">Fill in every yellow cell on the Inputs tab.</t>
  </si>
  <si>
    <t xml:space="preserve">Submission: commit growth-projection.xlsx to 04-gtm/financials/ before end of lab.</t>
  </si>
  <si>
    <t xml:space="preserve">TutorLink — Growth Projection Inputs</t>
  </si>
  <si>
    <t xml:space="preserve">Active scenario (type: Best / Expected / Worst)</t>
  </si>
  <si>
    <t xml:space="preserve">Expected</t>
  </si>
  <si>
    <t xml:space="preserve">← Change to switch scenario in Calculations</t>
  </si>
  <si>
    <t xml:space="preserve">General Assumptions</t>
  </si>
  <si>
    <t xml:space="preserve">Projection period (months)</t>
  </si>
  <si>
    <t xml:space="preserve">Month 1 start date</t>
  </si>
  <si>
    <t xml:space="preserve">May 2026</t>
  </si>
  <si>
    <t xml:space="preserve">Blended gross margin (%)</t>
  </si>
  <si>
    <t xml:space="preserve">Average lifetime (months)</t>
  </si>
  <si>
    <t xml:space="preserve">Monthly churn rate (%)</t>
  </si>
  <si>
    <t xml:space="preserve">Channel 1 — KIU International Student Office</t>
  </si>
  <si>
    <t xml:space="preserve">Assumption</t>
  </si>
  <si>
    <t xml:space="preserve">Worst</t>
  </si>
  <si>
    <t xml:space="preserve">Best</t>
  </si>
  <si>
    <t xml:space="preserve">Source / Note</t>
  </si>
  <si>
    <t xml:space="preserve">Outreach contacts (students)</t>
  </si>
  <si>
    <t xml:space="preserve">Landing page visit rate (%)</t>
  </si>
  <si>
    <t xml:space="preserve">Signup conversion rate (%)</t>
  </si>
  <si>
    <t xml:space="preserve">Monthly new users from this channel</t>
  </si>
  <si>
    <t xml:space="preserve">Month-over-month growth rate (%)</t>
  </si>
  <si>
    <t xml:space="preserve">Channel 2 — University WhatsApp &amp; Messenger Group Chats</t>
  </si>
  <si>
    <t xml:space="preserve">Group chat posts per month (team total)</t>
  </si>
  <si>
    <t xml:space="preserve">Average reach per post (students)</t>
  </si>
  <si>
    <t xml:space="preserve">Click-through rate on post (%)</t>
  </si>
  <si>
    <t xml:space="preserve">Signup conversion from click (%)</t>
  </si>
  <si>
    <t xml:space="preserve">Channel 3 — Tutor-Side Word of Mouth (Profile Sharing)</t>
  </si>
  <si>
    <t xml:space="preserve">Active tutors on platform (by end Sprint 2)</t>
  </si>
  <si>
    <t xml:space="preserve">Students referred per tutor per month</t>
  </si>
  <si>
    <t xml:space="preserve">Signup conversion from tutor referral (%)</t>
  </si>
  <si>
    <t xml:space="preserve">Unit Economics Assumptions</t>
  </si>
  <si>
    <t xml:space="preserve">Tutor featured plan price (GEL/month)</t>
  </si>
  <si>
    <t xml:space="preserve">% of active tutors on paid plan</t>
  </si>
  <si>
    <t xml:space="preserve">ARPU - students (GEL/month, proxy value)</t>
  </si>
  <si>
    <t xml:space="preserve">CAC - Ch1 International Office (GEL)</t>
  </si>
  <si>
    <t xml:space="preserve">CAC - Ch2 WhatsApp Group Chats (GEL)</t>
  </si>
  <si>
    <t xml:space="preserve">CAC - Ch3 Tutor Word of Mouth (GEL)</t>
  </si>
  <si>
    <t xml:space="preserve">TutorLink — Growth Calculations (DO NOT EDIT — all formulas)</t>
  </si>
  <si>
    <t xml:space="preserve">Active scenario (from Inputs!B3):</t>
  </si>
  <si>
    <t xml:space="preserve">Metric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</si>
  <si>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</si>
  <si>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</si>
  <si>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</si>
  <si>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</si>
  <si>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</si>
  <si>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</si>
  <si>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</si>
  <si>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Jan 2027</t>
  </si>
  <si>
    <t xml:space="preserve">Feb 2027</t>
  </si>
  <si>
    <t xml:space="preserve">Mar 2027</t>
  </si>
  <si>
    <t xml:space="preserve">Apr 2027</t>
  </si>
  <si>
    <t xml:space="preserve">12-Mo Total</t>
  </si>
  <si>
    <t xml:space="preserve">New users this month</t>
  </si>
  <si>
    <t xml:space="preserve">Cumulative users</t>
  </si>
  <si>
    <t xml:space="preserve">Churned users (monthly)</t>
  </si>
  <si>
    <t xml:space="preserve">Net active users</t>
  </si>
  <si>
    <t xml:space="preserve">Channel 2 — WhatsApp / Messenger Group Chats</t>
  </si>
  <si>
    <t xml:space="preserve">Channel 3 — Tutor-Side Word of Mouth</t>
  </si>
  <si>
    <t xml:space="preserve">Combined — All Channels</t>
  </si>
  <si>
    <t xml:space="preserve">Total new users (all channels)</t>
  </si>
  <si>
    <t xml:space="preserve">Total net active users</t>
  </si>
  <si>
    <t xml:space="preserve">Total active tutors (scenario)</t>
  </si>
  <si>
    <t xml:space="preserve">Tutors on paid plan</t>
  </si>
  <si>
    <t xml:space="preserve">Monthly revenue (GEL)</t>
  </si>
  <si>
    <t xml:space="preserve">TutorLink — Growth Projection Output</t>
  </si>
  <si>
    <t xml:space="preserve">Active scenario: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</si>
  <si>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</si>
  <si>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</si>
  <si>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</si>
  <si>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</si>
  <si>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</si>
  <si>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</si>
  <si>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</si>
  <si>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</si>
  <si>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Jan</t>
  </si>
  <si>
    <t xml:space="preserve">Feb</t>
  </si>
  <si>
    <t xml:space="preserve">Mar</t>
  </si>
  <si>
    <t xml:space="preserve">Apr</t>
  </si>
  <si>
    <t xml:space="preserve">Unit Economics Summary</t>
  </si>
  <si>
    <t xml:space="preserve">Tutor plan ARPU (GEL/mo)</t>
  </si>
  <si>
    <t xml:space="preserve">Gross margin (%)</t>
  </si>
  <si>
    <t xml:space="preserve">Avg customer lifetime (months)</t>
  </si>
  <si>
    <t xml:space="preserve">LTV — tutor (GEL)</t>
  </si>
  <si>
    <t xml:space="preserve">Blended CAC (GEL)</t>
  </si>
  <si>
    <t xml:space="preserve">LTV : CAC ratio</t>
  </si>
  <si>
    <t xml:space="preserve">Payback period (months)</t>
  </si>
  <si>
    <t xml:space="preserve">Cumulative Net Active Users — 12-Month Projection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</si>
</sst>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#,##0.0"/>
    <numFmt numFmtId="168" formatCode="[$GEL ]#,##0"/>
    <numFmt numFmtId="169" formatCode="[$GEL ]#,##0.0"/>
    <numFmt numFmtId="170" formatCode="@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b val="true"/>
      <sz val="13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2E75B6"/>
        <bgColor rgb="FF3D97AF"/>
      </patternFill>
    </fill>
    <fill>
      <patternFill patternType="solid">
        <fgColor rgb="FFE2EFDA"/>
        <bgColor rgb="FFE9F2EB"/>
      </patternFill>
    </fill>
    <fill>
      <patternFill patternType="solid">
        <fgColor rgb="FFEAF0FB"/>
        <bgColor rgb="FFE9F2EB"/>
      </patternFill>
    </fill>
    <fill>
      <patternFill patternType="solid">
        <fgColor rgb="FFE9F2EB"/>
        <bgColor rgb="FFEAF0FB"/>
      </patternFill>
    </fill>
    <fill>
      <patternFill patternType="solid">
        <fgColor rgb="FFFFF2CC"/>
        <bgColor rgb="FFE9F2EB"/>
      </patternFill>
    </fill>
    <fill>
      <patternFill patternType="solid">
        <fgColor rgb="FFD9E1F2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7A44B"/>
      <rgbColor rgb="FF800080"/>
      <rgbColor rgb="FF008080"/>
      <rgbColor rgb="FFC0C0C0"/>
      <rgbColor rgb="FF878787"/>
      <rgbColor rgb="FF8EA5CA"/>
      <rgbColor rgb="FFAA433F"/>
      <rgbColor rgb="FFFFF2CC"/>
      <rgbColor rgb="FFE9F2EB"/>
      <rgbColor rgb="FF660066"/>
      <rgbColor rgb="FFCC8F8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0FB"/>
      <rgbColor rgb="FFE2EFDA"/>
      <rgbColor rgb="FFD9E1F2"/>
      <rgbColor rgb="FF8CBFD2"/>
      <rgbColor rgb="FFFF99CC"/>
      <rgbColor rgb="FFCC99FF"/>
      <rgbColor rgb="FFF5B089"/>
      <rgbColor rgb="FF2E75B6"/>
      <rgbColor rgb="FF33CCCC"/>
      <rgbColor rgb="FFB3C992"/>
      <rgbColor rgb="FFFFCC00"/>
      <rgbColor rgb="FFDB8238"/>
      <rgbColor rgb="FFFF6600"/>
      <rgbColor rgb="FF6F568D"/>
      <rgbColor rgb="FFA596B9"/>
      <rgbColor rgb="FF1F3864"/>
      <rgbColor rgb="FF3D97A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"Net Active Users"</c:f>
              <c:strCache>
                <c:ptCount val="1"/>
                <c:pt idx="0">
                  <c:v>Net Active Users</c:v>
                </c:pt>
              </c:strCache>
            </c:strRef>
          </c:tx>
          <c:spPr>
            <a:solidFill>
              <a:srgbClr val="2e75b6"/>
            </a:solidFill>
            <a:ln w="201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Calculations!$B$5:$M$5</c:f>
              <c:multiLvlStrCache>
                <c:ptCount val="1"/>
                <c:lvl>
                  <c:pt idx="0">
                    <c:v>Apr 2027</c:v>
                  </c:pt>
                </c:lvl>
                <c:lvl>
                  <c:pt idx="0">
                    <c:v>Mar 2027</c:v>
                  </c:pt>
                </c:lvl>
                <c:lvl>
                  <c:pt idx="0">
                    <c:v>Feb 2027</c:v>
                  </c:pt>
                </c:lvl>
                <c:lvl>
                  <c:pt idx="0">
                    <c:v>Jan 2027</c:v>
                  </c:pt>
                </c:lvl>
                <c:lvl>
                  <c:pt idx="0">
                    <c:v>Dec 2026</c:v>
                  </c:pt>
                </c:lvl>
                <c:lvl>
                  <c:pt idx="0">
                    <c:v>Nov 2026</c:v>
                  </c:pt>
                </c:lvl>
                <c:lvl>
                  <c:pt idx="0">
                    <c:v>Oct 2026</c:v>
                  </c:pt>
                </c:lvl>
                <c:lvl>
                  <c:pt idx="0">
                    <c:v>Sep 2026</c:v>
                  </c:pt>
                </c:lvl>
                <c:lvl>
                  <c:pt idx="0">
                    <c:v>Aug 2026</c:v>
                  </c:pt>
                </c:lvl>
                <c:lvl>
                  <c:pt idx="0">
                    <c:v>Jul 2026</c:v>
                  </c:pt>
                </c:lvl>
                <c:lvl>
                  <c:pt idx="0">
                    <c:v>Jun 2026</c:v>
                  </c:pt>
                </c:lvl>
                <c:lvl>
                  <c:pt idx="0">
                    <c:v>May 2026</c:v>
                  </c:pt>
                </c:lvl>
              </c:multiLvlStrCache>
            </c:multiLvlStrRef>
          </c:cat>
          <c:val>
            <c:numRef>
              <c:f>Calculations!$B$30</c:f>
              <c:numCache>
                <c:formatCode>#,##0.0</c:formatCode>
                <c:ptCount val="1"/>
                <c:pt idx="0">
                  <c:v>67.2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Calculations!$B$5:$M$5</c:f>
              <c:multiLvlStrCache>
                <c:ptCount val="1"/>
                <c:lvl>
                  <c:pt idx="0">
                    <c:v>Apr 2027</c:v>
                  </c:pt>
                </c:lvl>
                <c:lvl>
                  <c:pt idx="0">
                    <c:v>Mar 2027</c:v>
                  </c:pt>
                </c:lvl>
                <c:lvl>
                  <c:pt idx="0">
                    <c:v>Feb 2027</c:v>
                  </c:pt>
                </c:lvl>
                <c:lvl>
                  <c:pt idx="0">
                    <c:v>Jan 2027</c:v>
                  </c:pt>
                </c:lvl>
                <c:lvl>
                  <c:pt idx="0">
                    <c:v>Dec 2026</c:v>
                  </c:pt>
                </c:lvl>
                <c:lvl>
                  <c:pt idx="0">
                    <c:v>Nov 2026</c:v>
                  </c:pt>
                </c:lvl>
                <c:lvl>
                  <c:pt idx="0">
                    <c:v>Oct 2026</c:v>
                  </c:pt>
                </c:lvl>
                <c:lvl>
                  <c:pt idx="0">
                    <c:v>Sep 2026</c:v>
                  </c:pt>
                </c:lvl>
                <c:lvl>
                  <c:pt idx="0">
                    <c:v>Aug 2026</c:v>
                  </c:pt>
                </c:lvl>
                <c:lvl>
                  <c:pt idx="0">
                    <c:v>Jul 2026</c:v>
                  </c:pt>
                </c:lvl>
                <c:lvl>
                  <c:pt idx="0">
                    <c:v>Jun 2026</c:v>
                  </c:pt>
                </c:lvl>
                <c:lvl>
                  <c:pt idx="0">
                    <c:v>May 2026</c:v>
                  </c:pt>
                </c:lvl>
              </c:multiLvlStrCache>
            </c:multiLvlStrRef>
          </c:cat>
          <c:val>
            <c:numRef>
              <c:f>Calculations!$C$30</c:f>
              <c:numCache>
                <c:formatCode>#,##0.0</c:formatCode>
                <c:ptCount val="1"/>
                <c:pt idx="0">
                  <c:v>139.86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87a44b"/>
            </a:solidFill>
            <a:ln w="4752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Calculations!$B$5:$M$5</c:f>
              <c:multiLvlStrCache>
                <c:ptCount val="1"/>
                <c:lvl>
                  <c:pt idx="0">
                    <c:v>Apr 2027</c:v>
                  </c:pt>
                </c:lvl>
                <c:lvl>
                  <c:pt idx="0">
                    <c:v>Mar 2027</c:v>
                  </c:pt>
                </c:lvl>
                <c:lvl>
                  <c:pt idx="0">
                    <c:v>Feb 2027</c:v>
                  </c:pt>
                </c:lvl>
                <c:lvl>
                  <c:pt idx="0">
                    <c:v>Jan 2027</c:v>
                  </c:pt>
                </c:lvl>
                <c:lvl>
                  <c:pt idx="0">
                    <c:v>Dec 2026</c:v>
                  </c:pt>
                </c:lvl>
                <c:lvl>
                  <c:pt idx="0">
                    <c:v>Nov 2026</c:v>
                  </c:pt>
                </c:lvl>
                <c:lvl>
                  <c:pt idx="0">
                    <c:v>Oct 2026</c:v>
                  </c:pt>
                </c:lvl>
                <c:lvl>
                  <c:pt idx="0">
                    <c:v>Sep 2026</c:v>
                  </c:pt>
                </c:lvl>
                <c:lvl>
                  <c:pt idx="0">
                    <c:v>Aug 2026</c:v>
                  </c:pt>
                </c:lvl>
                <c:lvl>
                  <c:pt idx="0">
                    <c:v>Jul 2026</c:v>
                  </c:pt>
                </c:lvl>
                <c:lvl>
                  <c:pt idx="0">
                    <c:v>Jun 2026</c:v>
                  </c:pt>
                </c:lvl>
                <c:lvl>
                  <c:pt idx="0">
                    <c:v>May 2026</c:v>
                  </c:pt>
                </c:lvl>
              </c:multiLvlStrCache>
            </c:multiLvlStrRef>
          </c:cat>
          <c:val>
            <c:numRef>
              <c:f>Calculations!$D$30</c:f>
              <c:numCache>
                <c:formatCode>#,##0.0</c:formatCode>
                <c:ptCount val="1"/>
                <c:pt idx="0">
                  <c:v>218.553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6f568d"/>
            </a:solidFill>
            <a:ln w="4752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Calculations!$B$5:$M$5</c:f>
              <c:multiLvlStrCache>
                <c:ptCount val="1"/>
                <c:lvl>
                  <c:pt idx="0">
                    <c:v>Apr 2027</c:v>
                  </c:pt>
                </c:lvl>
                <c:lvl>
                  <c:pt idx="0">
                    <c:v>Mar 2027</c:v>
                  </c:pt>
                </c:lvl>
                <c:lvl>
                  <c:pt idx="0">
                    <c:v>Feb 2027</c:v>
                  </c:pt>
                </c:lvl>
                <c:lvl>
                  <c:pt idx="0">
                    <c:v>Jan 2027</c:v>
                  </c:pt>
                </c:lvl>
                <c:lvl>
                  <c:pt idx="0">
                    <c:v>Dec 2026</c:v>
                  </c:pt>
                </c:lvl>
                <c:lvl>
                  <c:pt idx="0">
                    <c:v>Nov 2026</c:v>
                  </c:pt>
                </c:lvl>
                <c:lvl>
                  <c:pt idx="0">
                    <c:v>Oct 2026</c:v>
                  </c:pt>
                </c:lvl>
                <c:lvl>
                  <c:pt idx="0">
                    <c:v>Sep 2026</c:v>
                  </c:pt>
                </c:lvl>
                <c:lvl>
                  <c:pt idx="0">
                    <c:v>Aug 2026</c:v>
                  </c:pt>
                </c:lvl>
                <c:lvl>
                  <c:pt idx="0">
                    <c:v>Jul 2026</c:v>
                  </c:pt>
                </c:lvl>
                <c:lvl>
                  <c:pt idx="0">
                    <c:v>Jun 2026</c:v>
                  </c:pt>
                </c:lvl>
                <c:lvl>
                  <c:pt idx="0">
                    <c:v>May 2026</c:v>
                  </c:pt>
                </c:lvl>
              </c:multiLvlStrCache>
            </c:multiLvlStrRef>
          </c:cat>
          <c:val>
            <c:numRef>
              <c:f>Calculations!$E$30</c:f>
              <c:numCache>
                <c:formatCode>#,##0.0</c:formatCode>
                <c:ptCount val="1"/>
                <c:pt idx="0">
                  <c:v>303.92415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3d97af"/>
            </a:solidFill>
            <a:ln w="4752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Calculations!$B$5:$M$5</c:f>
              <c:multiLvlStrCache>
                <c:ptCount val="1"/>
                <c:lvl>
                  <c:pt idx="0">
                    <c:v>Apr 2027</c:v>
                  </c:pt>
                </c:lvl>
                <c:lvl>
                  <c:pt idx="0">
                    <c:v>Mar 2027</c:v>
                  </c:pt>
                </c:lvl>
                <c:lvl>
                  <c:pt idx="0">
                    <c:v>Feb 2027</c:v>
                  </c:pt>
                </c:lvl>
                <c:lvl>
                  <c:pt idx="0">
                    <c:v>Jan 2027</c:v>
                  </c:pt>
                </c:lvl>
                <c:lvl>
                  <c:pt idx="0">
                    <c:v>Dec 2026</c:v>
                  </c:pt>
                </c:lvl>
                <c:lvl>
                  <c:pt idx="0">
                    <c:v>Nov 2026</c:v>
                  </c:pt>
                </c:lvl>
                <c:lvl>
                  <c:pt idx="0">
                    <c:v>Oct 2026</c:v>
                  </c:pt>
                </c:lvl>
                <c:lvl>
                  <c:pt idx="0">
                    <c:v>Sep 2026</c:v>
                  </c:pt>
                </c:lvl>
                <c:lvl>
                  <c:pt idx="0">
                    <c:v>Aug 2026</c:v>
                  </c:pt>
                </c:lvl>
                <c:lvl>
                  <c:pt idx="0">
                    <c:v>Jul 2026</c:v>
                  </c:pt>
                </c:lvl>
                <c:lvl>
                  <c:pt idx="0">
                    <c:v>Jun 2026</c:v>
                  </c:pt>
                </c:lvl>
                <c:lvl>
                  <c:pt idx="0">
                    <c:v>May 2026</c:v>
                  </c:pt>
                </c:lvl>
              </c:multiLvlStrCache>
            </c:multiLvlStrRef>
          </c:cat>
          <c:val>
            <c:numRef>
              <c:f>Calculations!$F$30</c:f>
              <c:numCache>
                <c:formatCode>#,##0.0</c:formatCode>
                <c:ptCount val="1"/>
                <c:pt idx="0">
                  <c:v>396.7007325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db8238"/>
            </a:solidFill>
            <a:ln w="4752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Calculations!$B$5:$M$5</c:f>
              <c:multiLvlStrCache>
                <c:ptCount val="1"/>
                <c:lvl>
                  <c:pt idx="0">
                    <c:v>Apr 2027</c:v>
                  </c:pt>
                </c:lvl>
                <c:lvl>
                  <c:pt idx="0">
                    <c:v>Mar 2027</c:v>
                  </c:pt>
                </c:lvl>
                <c:lvl>
                  <c:pt idx="0">
                    <c:v>Feb 2027</c:v>
                  </c:pt>
                </c:lvl>
                <c:lvl>
                  <c:pt idx="0">
                    <c:v>Jan 2027</c:v>
                  </c:pt>
                </c:lvl>
                <c:lvl>
                  <c:pt idx="0">
                    <c:v>Dec 2026</c:v>
                  </c:pt>
                </c:lvl>
                <c:lvl>
                  <c:pt idx="0">
                    <c:v>Nov 2026</c:v>
                  </c:pt>
                </c:lvl>
                <c:lvl>
                  <c:pt idx="0">
                    <c:v>Oct 2026</c:v>
                  </c:pt>
                </c:lvl>
                <c:lvl>
                  <c:pt idx="0">
                    <c:v>Sep 2026</c:v>
                  </c:pt>
                </c:lvl>
                <c:lvl>
                  <c:pt idx="0">
                    <c:v>Aug 2026</c:v>
                  </c:pt>
                </c:lvl>
                <c:lvl>
                  <c:pt idx="0">
                    <c:v>Jul 2026</c:v>
                  </c:pt>
                </c:lvl>
                <c:lvl>
                  <c:pt idx="0">
                    <c:v>Jun 2026</c:v>
                  </c:pt>
                </c:lvl>
                <c:lvl>
                  <c:pt idx="0">
                    <c:v>May 2026</c:v>
                  </c:pt>
                </c:lvl>
              </c:multiLvlStrCache>
            </c:multiLvlStrRef>
          </c:cat>
          <c:val>
            <c:numRef>
              <c:f>Calculations!$G$30</c:f>
              <c:numCache>
                <c:formatCode>#,##0.0</c:formatCode>
                <c:ptCount val="1"/>
                <c:pt idx="0">
                  <c:v>497.703585375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8ea5ca"/>
            </a:solidFill>
            <a:ln w="4752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Calculations!$B$5:$M$5</c:f>
              <c:multiLvlStrCache>
                <c:ptCount val="1"/>
                <c:lvl>
                  <c:pt idx="0">
                    <c:v>Apr 2027</c:v>
                  </c:pt>
                </c:lvl>
                <c:lvl>
                  <c:pt idx="0">
                    <c:v>Mar 2027</c:v>
                  </c:pt>
                </c:lvl>
                <c:lvl>
                  <c:pt idx="0">
                    <c:v>Feb 2027</c:v>
                  </c:pt>
                </c:lvl>
                <c:lvl>
                  <c:pt idx="0">
                    <c:v>Jan 2027</c:v>
                  </c:pt>
                </c:lvl>
                <c:lvl>
                  <c:pt idx="0">
                    <c:v>Dec 2026</c:v>
                  </c:pt>
                </c:lvl>
                <c:lvl>
                  <c:pt idx="0">
                    <c:v>Nov 2026</c:v>
                  </c:pt>
                </c:lvl>
                <c:lvl>
                  <c:pt idx="0">
                    <c:v>Oct 2026</c:v>
                  </c:pt>
                </c:lvl>
                <c:lvl>
                  <c:pt idx="0">
                    <c:v>Sep 2026</c:v>
                  </c:pt>
                </c:lvl>
                <c:lvl>
                  <c:pt idx="0">
                    <c:v>Aug 2026</c:v>
                  </c:pt>
                </c:lvl>
                <c:lvl>
                  <c:pt idx="0">
                    <c:v>Jul 2026</c:v>
                  </c:pt>
                </c:lvl>
                <c:lvl>
                  <c:pt idx="0">
                    <c:v>Jun 2026</c:v>
                  </c:pt>
                </c:lvl>
                <c:lvl>
                  <c:pt idx="0">
                    <c:v>May 2026</c:v>
                  </c:pt>
                </c:lvl>
              </c:multiLvlStrCache>
            </c:multiLvlStrRef>
          </c:cat>
          <c:val>
            <c:numRef>
              <c:f>Calculations!$H$30</c:f>
              <c:numCache>
                <c:formatCode>#,##0.0</c:formatCode>
                <c:ptCount val="1"/>
                <c:pt idx="0">
                  <c:v>607.86017683125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Calculations!$B$5:$M$5</c:f>
              <c:multiLvlStrCache>
                <c:ptCount val="1"/>
                <c:lvl>
                  <c:pt idx="0">
                    <c:v>Apr 2027</c:v>
                  </c:pt>
                </c:lvl>
                <c:lvl>
                  <c:pt idx="0">
                    <c:v>Mar 2027</c:v>
                  </c:pt>
                </c:lvl>
                <c:lvl>
                  <c:pt idx="0">
                    <c:v>Feb 2027</c:v>
                  </c:pt>
                </c:lvl>
                <c:lvl>
                  <c:pt idx="0">
                    <c:v>Jan 2027</c:v>
                  </c:pt>
                </c:lvl>
                <c:lvl>
                  <c:pt idx="0">
                    <c:v>Dec 2026</c:v>
                  </c:pt>
                </c:lvl>
                <c:lvl>
                  <c:pt idx="0">
                    <c:v>Nov 2026</c:v>
                  </c:pt>
                </c:lvl>
                <c:lvl>
                  <c:pt idx="0">
                    <c:v>Oct 2026</c:v>
                  </c:pt>
                </c:lvl>
                <c:lvl>
                  <c:pt idx="0">
                    <c:v>Sep 2026</c:v>
                  </c:pt>
                </c:lvl>
                <c:lvl>
                  <c:pt idx="0">
                    <c:v>Aug 2026</c:v>
                  </c:pt>
                </c:lvl>
                <c:lvl>
                  <c:pt idx="0">
                    <c:v>Jul 2026</c:v>
                  </c:pt>
                </c:lvl>
                <c:lvl>
                  <c:pt idx="0">
                    <c:v>Jun 2026</c:v>
                  </c:pt>
                </c:lvl>
                <c:lvl>
                  <c:pt idx="0">
                    <c:v>May 2026</c:v>
                  </c:pt>
                </c:lvl>
              </c:multiLvlStrCache>
            </c:multiLvlStrRef>
          </c:cat>
          <c:val>
            <c:numRef>
              <c:f>Calculations!$I$30</c:f>
              <c:numCache>
                <c:formatCode>#,##0.0</c:formatCode>
                <c:ptCount val="1"/>
                <c:pt idx="0">
                  <c:v>728.219575538437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b3c992"/>
            </a:solidFill>
            <a:ln w="4752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Calculations!$B$5:$M$5</c:f>
              <c:multiLvlStrCache>
                <c:ptCount val="1"/>
                <c:lvl>
                  <c:pt idx="0">
                    <c:v>Apr 2027</c:v>
                  </c:pt>
                </c:lvl>
                <c:lvl>
                  <c:pt idx="0">
                    <c:v>Mar 2027</c:v>
                  </c:pt>
                </c:lvl>
                <c:lvl>
                  <c:pt idx="0">
                    <c:v>Feb 2027</c:v>
                  </c:pt>
                </c:lvl>
                <c:lvl>
                  <c:pt idx="0">
                    <c:v>Jan 2027</c:v>
                  </c:pt>
                </c:lvl>
                <c:lvl>
                  <c:pt idx="0">
                    <c:v>Dec 2026</c:v>
                  </c:pt>
                </c:lvl>
                <c:lvl>
                  <c:pt idx="0">
                    <c:v>Nov 2026</c:v>
                  </c:pt>
                </c:lvl>
                <c:lvl>
                  <c:pt idx="0">
                    <c:v>Oct 2026</c:v>
                  </c:pt>
                </c:lvl>
                <c:lvl>
                  <c:pt idx="0">
                    <c:v>Sep 2026</c:v>
                  </c:pt>
                </c:lvl>
                <c:lvl>
                  <c:pt idx="0">
                    <c:v>Aug 2026</c:v>
                  </c:pt>
                </c:lvl>
                <c:lvl>
                  <c:pt idx="0">
                    <c:v>Jul 2026</c:v>
                  </c:pt>
                </c:lvl>
                <c:lvl>
                  <c:pt idx="0">
                    <c:v>Jun 2026</c:v>
                  </c:pt>
                </c:lvl>
                <c:lvl>
                  <c:pt idx="0">
                    <c:v>May 2026</c:v>
                  </c:pt>
                </c:lvl>
              </c:multiLvlStrCache>
            </c:multiLvlStrRef>
          </c:cat>
          <c:val>
            <c:numRef>
              <c:f>Calculations!$J$30</c:f>
              <c:numCache>
                <c:formatCode>#,##0.0</c:formatCode>
                <c:ptCount val="1"/>
                <c:pt idx="0">
                  <c:v>859.969595095828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a596b9"/>
            </a:solidFill>
            <a:ln w="47520">
              <a:solidFill>
                <a:srgbClr val="a596b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Calculations!$B$5:$M$5</c:f>
              <c:multiLvlStrCache>
                <c:ptCount val="1"/>
                <c:lvl>
                  <c:pt idx="0">
                    <c:v>Apr 2027</c:v>
                  </c:pt>
                </c:lvl>
                <c:lvl>
                  <c:pt idx="0">
                    <c:v>Mar 2027</c:v>
                  </c:pt>
                </c:lvl>
                <c:lvl>
                  <c:pt idx="0">
                    <c:v>Feb 2027</c:v>
                  </c:pt>
                </c:lvl>
                <c:lvl>
                  <c:pt idx="0">
                    <c:v>Jan 2027</c:v>
                  </c:pt>
                </c:lvl>
                <c:lvl>
                  <c:pt idx="0">
                    <c:v>Dec 2026</c:v>
                  </c:pt>
                </c:lvl>
                <c:lvl>
                  <c:pt idx="0">
                    <c:v>Nov 2026</c:v>
                  </c:pt>
                </c:lvl>
                <c:lvl>
                  <c:pt idx="0">
                    <c:v>Oct 2026</c:v>
                  </c:pt>
                </c:lvl>
                <c:lvl>
                  <c:pt idx="0">
                    <c:v>Sep 2026</c:v>
                  </c:pt>
                </c:lvl>
                <c:lvl>
                  <c:pt idx="0">
                    <c:v>Aug 2026</c:v>
                  </c:pt>
                </c:lvl>
                <c:lvl>
                  <c:pt idx="0">
                    <c:v>Jul 2026</c:v>
                  </c:pt>
                </c:lvl>
                <c:lvl>
                  <c:pt idx="0">
                    <c:v>Jun 2026</c:v>
                  </c:pt>
                </c:lvl>
                <c:lvl>
                  <c:pt idx="0">
                    <c:v>May 2026</c:v>
                  </c:pt>
                </c:lvl>
              </c:multiLvlStrCache>
            </c:multiLvlStrRef>
          </c:cat>
          <c:val>
            <c:numRef>
              <c:f>Calculations!$K$30</c:f>
              <c:numCache>
                <c:formatCode>#,##0.0</c:formatCode>
                <c:ptCount val="1"/>
                <c:pt idx="0">
                  <c:v>1004.45643342666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8cbfd2"/>
            </a:solidFill>
            <a:ln w="47520">
              <a:solidFill>
                <a:srgbClr val="8cbfd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Calculations!$B$5:$M$5</c:f>
              <c:multiLvlStrCache>
                <c:ptCount val="1"/>
                <c:lvl>
                  <c:pt idx="0">
                    <c:v>Apr 2027</c:v>
                  </c:pt>
                </c:lvl>
                <c:lvl>
                  <c:pt idx="0">
                    <c:v>Mar 2027</c:v>
                  </c:pt>
                </c:lvl>
                <c:lvl>
                  <c:pt idx="0">
                    <c:v>Feb 2027</c:v>
                  </c:pt>
                </c:lvl>
                <c:lvl>
                  <c:pt idx="0">
                    <c:v>Jan 2027</c:v>
                  </c:pt>
                </c:lvl>
                <c:lvl>
                  <c:pt idx="0">
                    <c:v>Dec 2026</c:v>
                  </c:pt>
                </c:lvl>
                <c:lvl>
                  <c:pt idx="0">
                    <c:v>Nov 2026</c:v>
                  </c:pt>
                </c:lvl>
                <c:lvl>
                  <c:pt idx="0">
                    <c:v>Oct 2026</c:v>
                  </c:pt>
                </c:lvl>
                <c:lvl>
                  <c:pt idx="0">
                    <c:v>Sep 2026</c:v>
                  </c:pt>
                </c:lvl>
                <c:lvl>
                  <c:pt idx="0">
                    <c:v>Aug 2026</c:v>
                  </c:pt>
                </c:lvl>
                <c:lvl>
                  <c:pt idx="0">
                    <c:v>Jul 2026</c:v>
                  </c:pt>
                </c:lvl>
                <c:lvl>
                  <c:pt idx="0">
                    <c:v>Jun 2026</c:v>
                  </c:pt>
                </c:lvl>
                <c:lvl>
                  <c:pt idx="0">
                    <c:v>May 2026</c:v>
                  </c:pt>
                </c:lvl>
              </c:multiLvlStrCache>
            </c:multiLvlStrRef>
          </c:cat>
          <c:val>
            <c:numRef>
              <c:f>Calculations!$L$30</c:f>
              <c:numCache>
                <c:formatCode>#,##0.0</c:formatCode>
                <c:ptCount val="1"/>
                <c:pt idx="0">
                  <c:v>1163.20717530679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f5b089"/>
            </a:solidFill>
            <a:ln w="47520">
              <a:solidFill>
                <a:srgbClr val="f5b08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Calculations!$B$5:$M$5</c:f>
              <c:multiLvlStrCache>
                <c:ptCount val="1"/>
                <c:lvl>
                  <c:pt idx="0">
                    <c:v>Apr 2027</c:v>
                  </c:pt>
                </c:lvl>
                <c:lvl>
                  <c:pt idx="0">
                    <c:v>Mar 2027</c:v>
                  </c:pt>
                </c:lvl>
                <c:lvl>
                  <c:pt idx="0">
                    <c:v>Feb 2027</c:v>
                  </c:pt>
                </c:lvl>
                <c:lvl>
                  <c:pt idx="0">
                    <c:v>Jan 2027</c:v>
                  </c:pt>
                </c:lvl>
                <c:lvl>
                  <c:pt idx="0">
                    <c:v>Dec 2026</c:v>
                  </c:pt>
                </c:lvl>
                <c:lvl>
                  <c:pt idx="0">
                    <c:v>Nov 2026</c:v>
                  </c:pt>
                </c:lvl>
                <c:lvl>
                  <c:pt idx="0">
                    <c:v>Oct 2026</c:v>
                  </c:pt>
                </c:lvl>
                <c:lvl>
                  <c:pt idx="0">
                    <c:v>Sep 2026</c:v>
                  </c:pt>
                </c:lvl>
                <c:lvl>
                  <c:pt idx="0">
                    <c:v>Aug 2026</c:v>
                  </c:pt>
                </c:lvl>
                <c:lvl>
                  <c:pt idx="0">
                    <c:v>Jul 2026</c:v>
                  </c:pt>
                </c:lvl>
                <c:lvl>
                  <c:pt idx="0">
                    <c:v>Jun 2026</c:v>
                  </c:pt>
                </c:lvl>
                <c:lvl>
                  <c:pt idx="0">
                    <c:v>May 2026</c:v>
                  </c:pt>
                </c:lvl>
              </c:multiLvlStrCache>
            </c:multiLvlStrRef>
          </c:cat>
          <c:val>
            <c:numRef>
              <c:f>Calculations!$M$30</c:f>
              <c:numCache>
                <c:formatCode>#,##0.0</c:formatCode>
                <c:ptCount val="1"/>
                <c:pt idx="0">
                  <c:v>1337.95558094322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3494842"/>
        <c:axId val="19423104"/>
      </c:lineChart>
      <c:catAx>
        <c:axId val="434948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423104"/>
        <c:crosses val="autoZero"/>
        <c:auto val="1"/>
        <c:lblAlgn val="ctr"/>
        <c:lblOffset val="100"/>
        <c:noMultiLvlLbl val="0"/>
      </c:catAx>
      <c:valAx>
        <c:axId val="194231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Net Active Users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4948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24</xdr:row>
      <xdr:rowOff>0</xdr:rowOff>
    </xdr:from>
    <xdr:to>
      <xdr:col>7</xdr:col>
      <xdr:colOff>25200</xdr:colOff>
      <xdr:row>50</xdr:row>
      <xdr:rowOff>86400</xdr:rowOff>
    </xdr:to>
    <xdr:graphicFrame>
      <xdr:nvGraphicFramePr>
        <xdr:cNvPr id="0" name="Chart 1"/>
        <xdr:cNvGraphicFramePr/>
      </xdr:nvGraphicFramePr>
      <xdr:xfrm>
        <a:off x="0" y="521964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36" hidden="false" customHeight="true" outlineLevel="0" collapsed="false">
      <c r="A1" s="1" t="s">
        <v>0</v>
      </c>
    </row>
    <row r="3" customFormat="false" ht="18" hidden="false" customHeight="true" outlineLevel="0" collapsed="false">
      <c r="A3" s="2" t="s">
        <v>1</v>
      </c>
    </row>
    <row r="5" customFormat="false" ht="18" hidden="false" customHeight="true" outlineLevel="0" collapsed="false">
      <c r="A5" s="3" t="s">
        <v>2</v>
      </c>
    </row>
    <row r="6" customFormat="false" ht="18" hidden="false" customHeight="true" outlineLevel="0" collapsed="false">
      <c r="A6" s="3" t="s">
        <v>3</v>
      </c>
    </row>
    <row r="7" customFormat="false" ht="18" hidden="false" customHeight="true" outlineLevel="0" collapsed="false">
      <c r="A7" s="3" t="s">
        <v>4</v>
      </c>
    </row>
    <row r="8" customFormat="false" ht="18" hidden="false" customHeight="true" outlineLevel="0" collapsed="false">
      <c r="A8" s="3" t="s">
        <v>5</v>
      </c>
    </row>
    <row r="9" customFormat="false" ht="18" hidden="false" customHeight="true" outlineLevel="0" collapsed="false">
      <c r="A9" s="3" t="s">
        <v>6</v>
      </c>
    </row>
    <row r="10" customFormat="false" ht="18" hidden="false" customHeight="true" outlineLevel="0" collapsed="false">
      <c r="A10" s="3" t="s">
        <v>7</v>
      </c>
    </row>
    <row r="11" customFormat="false" ht="18" hidden="false" customHeight="true" outlineLevel="0" collapsed="false">
      <c r="A11" s="3" t="s">
        <v>8</v>
      </c>
    </row>
    <row r="13" customFormat="false" ht="18" hidden="false" customHeight="true" outlineLevel="0" collapsed="false">
      <c r="A13" s="2" t="s">
        <v>9</v>
      </c>
    </row>
    <row r="14" customFormat="false" ht="18" hidden="false" customHeight="true" outlineLevel="0" collapsed="false">
      <c r="A14" s="3" t="s">
        <v>10</v>
      </c>
    </row>
    <row r="15" customFormat="false" ht="18" hidden="false" customHeight="true" outlineLevel="0" collapsed="false">
      <c r="A15" s="3" t="s">
        <v>11</v>
      </c>
    </row>
    <row r="16" customFormat="false" ht="18" hidden="false" customHeight="true" outlineLevel="0" collapsed="false">
      <c r="A16" s="3" t="s">
        <v>12</v>
      </c>
    </row>
    <row r="17" customFormat="false" ht="18" hidden="false" customHeight="true" outlineLevel="0" collapsed="false">
      <c r="A17" s="3" t="s">
        <v>13</v>
      </c>
    </row>
    <row r="19" customFormat="false" ht="18" hidden="false" customHeight="true" outlineLevel="0" collapsed="false">
      <c r="A19" s="3" t="s">
        <v>14</v>
      </c>
    </row>
    <row r="20" customFormat="false" ht="18" hidden="false" customHeight="true" outlineLevel="0" collapsed="false">
      <c r="A20" s="3" t="s">
        <v>15</v>
      </c>
    </row>
    <row r="22" customFormat="false" ht="18" hidden="false" customHeight="true" outlineLevel="0" collapsed="false">
      <c r="A22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20"/>
    <col collapsed="false" customWidth="true" hidden="false" outlineLevel="0" max="5" min="5" style="0" width="32"/>
  </cols>
  <sheetData>
    <row r="1" customFormat="false" ht="30" hidden="false" customHeight="true" outlineLevel="0" collapsed="false">
      <c r="A1" s="4" t="s">
        <v>17</v>
      </c>
      <c r="B1" s="5"/>
      <c r="C1" s="5"/>
      <c r="D1" s="5"/>
      <c r="E1" s="5"/>
    </row>
    <row r="2" customFormat="false" ht="6" hidden="false" customHeight="true" outlineLevel="0" collapsed="false"/>
    <row r="3" customFormat="false" ht="21.75" hidden="false" customHeight="true" outlineLevel="0" collapsed="false">
      <c r="A3" s="6" t="s">
        <v>18</v>
      </c>
      <c r="B3" s="7" t="s">
        <v>19</v>
      </c>
      <c r="C3" s="3" t="s">
        <v>20</v>
      </c>
    </row>
    <row r="4" customFormat="false" ht="7.5" hidden="false" customHeight="true" outlineLevel="0" collapsed="false"/>
    <row r="5" customFormat="false" ht="21.75" hidden="false" customHeight="true" outlineLevel="0" collapsed="false">
      <c r="A5" s="8" t="s">
        <v>21</v>
      </c>
      <c r="B5" s="5"/>
      <c r="C5" s="5"/>
      <c r="D5" s="5"/>
      <c r="E5" s="5"/>
    </row>
    <row r="6" customFormat="false" ht="18" hidden="false" customHeight="true" outlineLevel="0" collapsed="false">
      <c r="A6" s="3" t="s">
        <v>22</v>
      </c>
      <c r="B6" s="9" t="n">
        <v>12</v>
      </c>
    </row>
    <row r="7" customFormat="false" ht="18" hidden="false" customHeight="true" outlineLevel="0" collapsed="false">
      <c r="A7" s="3" t="s">
        <v>23</v>
      </c>
      <c r="B7" s="9" t="s">
        <v>24</v>
      </c>
    </row>
    <row r="8" customFormat="false" ht="18" hidden="false" customHeight="true" outlineLevel="0" collapsed="false">
      <c r="A8" s="3" t="s">
        <v>25</v>
      </c>
      <c r="B8" s="10" t="n">
        <v>0.8</v>
      </c>
    </row>
    <row r="9" customFormat="false" ht="18" hidden="false" customHeight="true" outlineLevel="0" collapsed="false">
      <c r="A9" s="3" t="s">
        <v>26</v>
      </c>
      <c r="B9" s="9" t="n">
        <v>18</v>
      </c>
    </row>
    <row r="10" customFormat="false" ht="18" hidden="false" customHeight="true" outlineLevel="0" collapsed="false">
      <c r="A10" s="3" t="s">
        <v>27</v>
      </c>
      <c r="B10" s="10" t="n">
        <v>0.05</v>
      </c>
    </row>
    <row r="11" customFormat="false" ht="7.5" hidden="false" customHeight="true" outlineLevel="0" collapsed="false"/>
    <row r="12" customFormat="false" ht="21.75" hidden="false" customHeight="true" outlineLevel="0" collapsed="false">
      <c r="A12" s="8" t="s">
        <v>28</v>
      </c>
      <c r="B12" s="5"/>
      <c r="C12" s="5"/>
      <c r="D12" s="5"/>
      <c r="E12" s="5"/>
    </row>
    <row r="13" customFormat="false" ht="19.5" hidden="false" customHeight="true" outlineLevel="0" collapsed="false">
      <c r="A13" s="11" t="s">
        <v>29</v>
      </c>
      <c r="B13" s="11" t="s">
        <v>30</v>
      </c>
      <c r="C13" s="11" t="s">
        <v>19</v>
      </c>
      <c r="D13" s="11" t="s">
        <v>31</v>
      </c>
      <c r="E13" s="11" t="s">
        <v>32</v>
      </c>
    </row>
    <row r="14" customFormat="false" ht="18" hidden="false" customHeight="true" outlineLevel="0" collapsed="false">
      <c r="A14" s="3" t="s">
        <v>33</v>
      </c>
      <c r="B14" s="9" t="n">
        <v>20</v>
      </c>
      <c r="C14" s="9" t="n">
        <v>40</v>
      </c>
      <c r="D14" s="9" t="n">
        <v>60</v>
      </c>
    </row>
    <row r="15" customFormat="false" ht="18" hidden="false" customHeight="true" outlineLevel="0" collapsed="false">
      <c r="A15" s="3" t="s">
        <v>34</v>
      </c>
      <c r="B15" s="10" t="n">
        <v>0.4</v>
      </c>
      <c r="C15" s="10" t="n">
        <v>0.6</v>
      </c>
      <c r="D15" s="10" t="n">
        <v>0.8</v>
      </c>
    </row>
    <row r="16" customFormat="false" ht="18" hidden="false" customHeight="true" outlineLevel="0" collapsed="false">
      <c r="A16" s="3" t="s">
        <v>35</v>
      </c>
      <c r="B16" s="10" t="n">
        <v>0.15</v>
      </c>
      <c r="C16" s="10" t="n">
        <v>0.25</v>
      </c>
      <c r="D16" s="10" t="n">
        <v>0.4</v>
      </c>
    </row>
    <row r="17" customFormat="false" ht="18" hidden="false" customHeight="true" outlineLevel="0" collapsed="false">
      <c r="A17" s="3" t="s">
        <v>36</v>
      </c>
      <c r="B17" s="12" t="n">
        <f aca="false">B14*B15*B16</f>
        <v>1.2</v>
      </c>
      <c r="C17" s="12" t="n">
        <f aca="false">C14*C15*C16</f>
        <v>6</v>
      </c>
      <c r="D17" s="12" t="n">
        <f aca="false">D14*D15*D16</f>
        <v>19.2</v>
      </c>
    </row>
    <row r="18" customFormat="false" ht="18" hidden="false" customHeight="true" outlineLevel="0" collapsed="false">
      <c r="A18" s="3" t="s">
        <v>37</v>
      </c>
      <c r="B18" s="10" t="n">
        <v>0.05</v>
      </c>
      <c r="C18" s="10" t="n">
        <v>0.1</v>
      </c>
      <c r="D18" s="10" t="n">
        <v>0.2</v>
      </c>
    </row>
    <row r="19" customFormat="false" ht="7.5" hidden="false" customHeight="true" outlineLevel="0" collapsed="false"/>
    <row r="20" customFormat="false" ht="21.75" hidden="false" customHeight="true" outlineLevel="0" collapsed="false">
      <c r="A20" s="8" t="s">
        <v>38</v>
      </c>
      <c r="B20" s="5"/>
      <c r="C20" s="5"/>
      <c r="D20" s="5"/>
      <c r="E20" s="5"/>
    </row>
    <row r="21" customFormat="false" ht="19.5" hidden="false" customHeight="true" outlineLevel="0" collapsed="false">
      <c r="A21" s="11" t="s">
        <v>29</v>
      </c>
      <c r="B21" s="11" t="s">
        <v>30</v>
      </c>
      <c r="C21" s="11" t="s">
        <v>19</v>
      </c>
      <c r="D21" s="11" t="s">
        <v>31</v>
      </c>
      <c r="E21" s="11" t="s">
        <v>32</v>
      </c>
    </row>
    <row r="22" customFormat="false" ht="18" hidden="false" customHeight="true" outlineLevel="0" collapsed="false">
      <c r="A22" s="3" t="s">
        <v>39</v>
      </c>
      <c r="B22" s="9" t="n">
        <v>4</v>
      </c>
      <c r="C22" s="9" t="n">
        <v>8</v>
      </c>
      <c r="D22" s="9" t="n">
        <v>12</v>
      </c>
    </row>
    <row r="23" customFormat="false" ht="18" hidden="false" customHeight="true" outlineLevel="0" collapsed="false">
      <c r="A23" s="3" t="s">
        <v>40</v>
      </c>
      <c r="B23" s="9" t="n">
        <v>80</v>
      </c>
      <c r="C23" s="9" t="n">
        <v>150</v>
      </c>
      <c r="D23" s="9" t="n">
        <v>250</v>
      </c>
    </row>
    <row r="24" customFormat="false" ht="18" hidden="false" customHeight="true" outlineLevel="0" collapsed="false">
      <c r="A24" s="3" t="s">
        <v>41</v>
      </c>
      <c r="B24" s="10" t="n">
        <v>0.05</v>
      </c>
      <c r="C24" s="10" t="n">
        <v>0.12</v>
      </c>
      <c r="D24" s="10" t="n">
        <v>0.2</v>
      </c>
    </row>
    <row r="25" customFormat="false" ht="18" hidden="false" customHeight="true" outlineLevel="0" collapsed="false">
      <c r="A25" s="3" t="s">
        <v>42</v>
      </c>
      <c r="B25" s="10" t="n">
        <v>0.2</v>
      </c>
      <c r="C25" s="10" t="n">
        <v>0.3</v>
      </c>
      <c r="D25" s="10" t="n">
        <v>0.45</v>
      </c>
    </row>
    <row r="26" customFormat="false" ht="18" hidden="false" customHeight="true" outlineLevel="0" collapsed="false">
      <c r="A26" s="3" t="s">
        <v>36</v>
      </c>
      <c r="B26" s="12" t="n">
        <f aca="false">B22*B23*B24*B25</f>
        <v>3.2</v>
      </c>
      <c r="C26" s="12" t="n">
        <f aca="false">C22*C23*C24*C25</f>
        <v>43.2</v>
      </c>
      <c r="D26" s="12" t="n">
        <f aca="false">D22*D23*D24*D25</f>
        <v>270</v>
      </c>
    </row>
    <row r="27" customFormat="false" ht="18" hidden="false" customHeight="true" outlineLevel="0" collapsed="false">
      <c r="A27" s="3" t="s">
        <v>37</v>
      </c>
      <c r="B27" s="10" t="n">
        <v>0</v>
      </c>
      <c r="C27" s="10" t="n">
        <v>0.05</v>
      </c>
      <c r="D27" s="10" t="n">
        <v>0.1</v>
      </c>
    </row>
    <row r="28" customFormat="false" ht="7.5" hidden="false" customHeight="true" outlineLevel="0" collapsed="false"/>
    <row r="29" customFormat="false" ht="21.75" hidden="false" customHeight="true" outlineLevel="0" collapsed="false">
      <c r="A29" s="8" t="s">
        <v>43</v>
      </c>
      <c r="B29" s="5"/>
      <c r="C29" s="5"/>
      <c r="D29" s="5"/>
      <c r="E29" s="5"/>
    </row>
    <row r="30" customFormat="false" ht="19.5" hidden="false" customHeight="true" outlineLevel="0" collapsed="false">
      <c r="A30" s="11" t="s">
        <v>29</v>
      </c>
      <c r="B30" s="11" t="s">
        <v>30</v>
      </c>
      <c r="C30" s="11" t="s">
        <v>19</v>
      </c>
      <c r="D30" s="11" t="s">
        <v>31</v>
      </c>
      <c r="E30" s="11" t="s">
        <v>32</v>
      </c>
    </row>
    <row r="31" customFormat="false" ht="18" hidden="false" customHeight="true" outlineLevel="0" collapsed="false">
      <c r="A31" s="3" t="s">
        <v>44</v>
      </c>
      <c r="B31" s="9" t="n">
        <v>5</v>
      </c>
      <c r="C31" s="9" t="n">
        <v>15</v>
      </c>
      <c r="D31" s="9" t="n">
        <v>25</v>
      </c>
    </row>
    <row r="32" customFormat="false" ht="18" hidden="false" customHeight="true" outlineLevel="0" collapsed="false">
      <c r="A32" s="3" t="s">
        <v>45</v>
      </c>
      <c r="B32" s="9" t="n">
        <v>1</v>
      </c>
      <c r="C32" s="9" t="n">
        <v>3</v>
      </c>
      <c r="D32" s="9" t="n">
        <v>5</v>
      </c>
    </row>
    <row r="33" customFormat="false" ht="18" hidden="false" customHeight="true" outlineLevel="0" collapsed="false">
      <c r="A33" s="3" t="s">
        <v>46</v>
      </c>
      <c r="B33" s="10" t="n">
        <v>0.25</v>
      </c>
      <c r="C33" s="10" t="n">
        <v>0.4</v>
      </c>
      <c r="D33" s="10" t="n">
        <v>0.6</v>
      </c>
    </row>
    <row r="34" customFormat="false" ht="18" hidden="false" customHeight="true" outlineLevel="0" collapsed="false">
      <c r="A34" s="3" t="s">
        <v>36</v>
      </c>
      <c r="B34" s="12" t="n">
        <f aca="false">B31*B32*B33</f>
        <v>1.25</v>
      </c>
      <c r="C34" s="12" t="n">
        <f aca="false">C31*C32*C33</f>
        <v>18</v>
      </c>
      <c r="D34" s="12" t="n">
        <f aca="false">D31*D32*D33</f>
        <v>75</v>
      </c>
    </row>
    <row r="35" customFormat="false" ht="18" hidden="false" customHeight="true" outlineLevel="0" collapsed="false">
      <c r="A35" s="3" t="s">
        <v>37</v>
      </c>
      <c r="B35" s="10" t="n">
        <v>0.05</v>
      </c>
      <c r="C35" s="10" t="n">
        <v>0.15</v>
      </c>
      <c r="D35" s="10" t="n">
        <v>0.25</v>
      </c>
    </row>
    <row r="36" customFormat="false" ht="7.5" hidden="false" customHeight="true" outlineLevel="0" collapsed="false"/>
    <row r="37" customFormat="false" ht="21.75" hidden="false" customHeight="true" outlineLevel="0" collapsed="false">
      <c r="A37" s="8" t="s">
        <v>47</v>
      </c>
      <c r="B37" s="5"/>
      <c r="C37" s="5"/>
      <c r="D37" s="5"/>
      <c r="E37" s="5"/>
    </row>
    <row r="38" customFormat="false" ht="19.5" hidden="false" customHeight="true" outlineLevel="0" collapsed="false">
      <c r="A38" s="11" t="s">
        <v>29</v>
      </c>
      <c r="B38" s="11" t="s">
        <v>30</v>
      </c>
      <c r="C38" s="11" t="s">
        <v>19</v>
      </c>
      <c r="D38" s="11" t="s">
        <v>31</v>
      </c>
      <c r="E38" s="11" t="s">
        <v>32</v>
      </c>
    </row>
    <row r="39" customFormat="false" ht="18" hidden="false" customHeight="true" outlineLevel="0" collapsed="false">
      <c r="A39" s="3" t="s">
        <v>48</v>
      </c>
      <c r="B39" s="9" t="n">
        <v>15</v>
      </c>
      <c r="C39" s="9" t="n">
        <v>30</v>
      </c>
      <c r="D39" s="9" t="n">
        <v>50</v>
      </c>
    </row>
    <row r="40" customFormat="false" ht="18" hidden="false" customHeight="true" outlineLevel="0" collapsed="false">
      <c r="A40" s="3" t="s">
        <v>49</v>
      </c>
      <c r="B40" s="10" t="n">
        <v>0.1</v>
      </c>
      <c r="C40" s="10" t="n">
        <v>0.25</v>
      </c>
      <c r="D40" s="10" t="n">
        <v>0.4</v>
      </c>
    </row>
    <row r="41" customFormat="false" ht="18" hidden="false" customHeight="true" outlineLevel="0" collapsed="false">
      <c r="A41" s="3" t="s">
        <v>50</v>
      </c>
      <c r="B41" s="9" t="n">
        <v>0</v>
      </c>
      <c r="C41" s="9" t="n">
        <v>0</v>
      </c>
      <c r="D41" s="9" t="n">
        <v>0</v>
      </c>
    </row>
    <row r="42" customFormat="false" ht="18" hidden="false" customHeight="true" outlineLevel="0" collapsed="false">
      <c r="A42" s="3" t="s">
        <v>51</v>
      </c>
      <c r="B42" s="9" t="n">
        <v>10</v>
      </c>
      <c r="C42" s="9" t="n">
        <v>5</v>
      </c>
      <c r="D42" s="9" t="n">
        <v>2</v>
      </c>
    </row>
    <row r="43" customFormat="false" ht="18" hidden="false" customHeight="true" outlineLevel="0" collapsed="false">
      <c r="A43" s="3" t="s">
        <v>52</v>
      </c>
      <c r="B43" s="9" t="n">
        <v>8</v>
      </c>
      <c r="C43" s="9" t="n">
        <v>3</v>
      </c>
      <c r="D43" s="9" t="n">
        <v>1</v>
      </c>
    </row>
    <row r="44" customFormat="false" ht="18" hidden="false" customHeight="true" outlineLevel="0" collapsed="false">
      <c r="A44" s="3" t="s">
        <v>53</v>
      </c>
      <c r="B44" s="9" t="n">
        <v>5</v>
      </c>
      <c r="C44" s="9" t="n">
        <v>2</v>
      </c>
      <c r="D44" s="9" t="n">
        <v>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3" min="2" style="0" width="12"/>
    <col collapsed="false" customWidth="true" hidden="false" outlineLevel="0" max="14" min="14" style="0" width="14"/>
  </cols>
  <sheetData>
    <row r="1" customFormat="false" ht="30" hidden="false" customHeight="true" outlineLevel="0" collapsed="false">
      <c r="A1" s="13" t="s">
        <v>54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customFormat="false" ht="6" hidden="false" customHeight="true" outlineLevel="0" collapsed="false"/>
    <row r="3" customFormat="false" ht="19.5" hidden="false" customHeight="true" outlineLevel="0" collapsed="false">
      <c r="A3" s="6" t="s">
        <v>55</v>
      </c>
      <c r="B3" s="14" t="str">
        <f aca="false">Inputs!B3</f>
        <v>Expected</v>
      </c>
    </row>
    <row r="4" customFormat="false" ht="7.5" hidden="false" customHeight="true" outlineLevel="0" collapsed="false"/>
    <row r="5" customFormat="false" ht="19.5" hidden="false" customHeight="true" outlineLevel="0" collapsed="false">
      <c r="A5" s="15" t="s">
        <v>56</v>
      </c>
      <c r="B5" s="16" t="s">
        <v>24</v>
      </c>
      <c r="C5" s="16" t="s">
        <v>57</v>
      </c>
      <c r="D5" s="16" t="s">
        <v>58</v>
      </c>
      <c r="E5" s="16" t="s">
        <v>59</v>
      </c>
      <c r="F5" s="16" t="s">
        <v>60</v>
      </c>
      <c r="G5" s="16" t="s">
        <v>61</v>
      </c>
      <c r="H5" s="16" t="s">
        <v>62</v>
      </c>
      <c r="I5" s="16" t="s">
        <v>63</v>
      </c>
      <c r="J5" s="16" t="s">
        <v>64</v>
      </c>
      <c r="K5" s="16" t="s">
        <v>65</v>
      </c>
      <c r="L5" s="16" t="s">
        <v>66</v>
      </c>
      <c r="M5" s="16" t="s">
        <v>67</v>
      </c>
      <c r="N5" s="17" t="s">
        <v>68</v>
      </c>
    </row>
    <row r="6" customFormat="false" ht="6" hidden="false" customHeight="true" outlineLevel="0" collapsed="false"/>
    <row r="7" customFormat="false" ht="19.5" hidden="false" customHeight="true" outlineLevel="0" collapsed="false">
      <c r="A7" s="18" t="s">
        <v>28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</row>
    <row r="8" customFormat="false" ht="18" hidden="false" customHeight="true" outlineLevel="0" collapsed="false">
      <c r="A8" s="20" t="s">
        <v>69</v>
      </c>
      <c r="B8" s="21" t="n">
        <f aca="false">CHOOSE(MATCH(Inputs!B3,{"Worst","Expected","Best"},0),Inputs!B17,Inputs!C17,Inputs!D17)</f>
        <v>6</v>
      </c>
      <c r="C8" s="21" t="n">
        <f aca="false">CHOOSE(MATCH(Inputs!B3,{"Worst","Expected","Best"},0),B8*(1+Inputs!B18),B8*(1+Inputs!C18),B8*(1+Inputs!D18))</f>
        <v>6.6</v>
      </c>
      <c r="D8" s="21" t="n">
        <f aca="false">CHOOSE(MATCH(Inputs!B3,{"Worst","Expected","Best"},0),C8*(1+Inputs!B18),C8*(1+Inputs!C18),C8*(1+Inputs!D18))</f>
        <v>7.26</v>
      </c>
      <c r="E8" s="21" t="n">
        <f aca="false">CHOOSE(MATCH(Inputs!B3,{"Worst","Expected","Best"},0),D8*(1+Inputs!B18),D8*(1+Inputs!C18),D8*(1+Inputs!D18))</f>
        <v>7.986</v>
      </c>
      <c r="F8" s="21" t="n">
        <f aca="false">CHOOSE(MATCH(Inputs!B3,{"Worst","Expected","Best"},0),E8*(1+Inputs!B18),E8*(1+Inputs!C18),E8*(1+Inputs!D18))</f>
        <v>8.7846</v>
      </c>
      <c r="G8" s="21" t="n">
        <f aca="false">CHOOSE(MATCH(Inputs!B3,{"Worst","Expected","Best"},0),F8*(1+Inputs!B18),F8*(1+Inputs!C18),F8*(1+Inputs!D18))</f>
        <v>9.66306</v>
      </c>
      <c r="H8" s="21" t="n">
        <f aca="false">CHOOSE(MATCH(Inputs!B3,{"Worst","Expected","Best"},0),G8*(1+Inputs!B18),G8*(1+Inputs!C18),G8*(1+Inputs!D18))</f>
        <v>10.629366</v>
      </c>
      <c r="I8" s="21" t="n">
        <f aca="false">CHOOSE(MATCH(Inputs!B3,{"Worst","Expected","Best"},0),H8*(1+Inputs!B18),H8*(1+Inputs!C18),H8*(1+Inputs!D18))</f>
        <v>11.6923026</v>
      </c>
      <c r="J8" s="21" t="n">
        <f aca="false">CHOOSE(MATCH(Inputs!B3,{"Worst","Expected","Best"},0),I8*(1+Inputs!B18),I8*(1+Inputs!C18),I8*(1+Inputs!D18))</f>
        <v>12.86153286</v>
      </c>
      <c r="K8" s="21" t="n">
        <f aca="false">CHOOSE(MATCH(Inputs!B3,{"Worst","Expected","Best"},0),J8*(1+Inputs!B18),J8*(1+Inputs!C18),J8*(1+Inputs!D18))</f>
        <v>14.147686146</v>
      </c>
      <c r="L8" s="21" t="n">
        <f aca="false">CHOOSE(MATCH(Inputs!B3,{"Worst","Expected","Best"},0),K8*(1+Inputs!B18),K8*(1+Inputs!C18),K8*(1+Inputs!D18))</f>
        <v>15.5624547606</v>
      </c>
      <c r="M8" s="21" t="n">
        <f aca="false">CHOOSE(MATCH(Inputs!B3,{"Worst","Expected","Best"},0),L8*(1+Inputs!B18),L8*(1+Inputs!C18),L8*(1+Inputs!D18))</f>
        <v>17.11870023666</v>
      </c>
      <c r="N8" s="12" t="n">
        <f aca="false">SUM(B8:M8)</f>
        <v>128.30570260326</v>
      </c>
    </row>
    <row r="9" customFormat="false" ht="18" hidden="false" customHeight="true" outlineLevel="0" collapsed="false">
      <c r="A9" s="3" t="s">
        <v>70</v>
      </c>
      <c r="B9" s="12" t="n">
        <f aca="false">B8</f>
        <v>6</v>
      </c>
      <c r="C9" s="12" t="n">
        <f aca="false">B9+C8</f>
        <v>12.6</v>
      </c>
      <c r="D9" s="12" t="n">
        <f aca="false">C9+D8</f>
        <v>19.86</v>
      </c>
      <c r="E9" s="12" t="n">
        <f aca="false">D9+E8</f>
        <v>27.846</v>
      </c>
      <c r="F9" s="12" t="n">
        <f aca="false">E9+F8</f>
        <v>36.6306</v>
      </c>
      <c r="G9" s="12" t="n">
        <f aca="false">F9+G8</f>
        <v>46.29366</v>
      </c>
      <c r="H9" s="12" t="n">
        <f aca="false">G9+H8</f>
        <v>56.923026</v>
      </c>
      <c r="I9" s="12" t="n">
        <f aca="false">H9+I8</f>
        <v>68.6153286</v>
      </c>
      <c r="J9" s="12" t="n">
        <f aca="false">I9+J8</f>
        <v>81.47686146</v>
      </c>
      <c r="K9" s="12" t="n">
        <f aca="false">J9+K8</f>
        <v>95.6245476060001</v>
      </c>
      <c r="L9" s="12" t="n">
        <f aca="false">K9+L8</f>
        <v>111.1870023666</v>
      </c>
      <c r="M9" s="12" t="n">
        <f aca="false">L9+M8</f>
        <v>128.30570260326</v>
      </c>
      <c r="N9" s="12" t="n">
        <f aca="false">M9</f>
        <v>128.30570260326</v>
      </c>
    </row>
    <row r="10" customFormat="false" ht="18" hidden="false" customHeight="true" outlineLevel="0" collapsed="false">
      <c r="A10" s="20" t="s">
        <v>71</v>
      </c>
      <c r="B10" s="12" t="n">
        <f aca="false">0</f>
        <v>0</v>
      </c>
      <c r="C10" s="12" t="n">
        <f aca="false">B11*Inputs!C10</f>
        <v>0</v>
      </c>
      <c r="D10" s="12" t="n">
        <f aca="false">C11*Inputs!C10</f>
        <v>0</v>
      </c>
      <c r="E10" s="12" t="n">
        <f aca="false">D11*Inputs!C10</f>
        <v>0</v>
      </c>
      <c r="F10" s="12" t="n">
        <f aca="false">E11*Inputs!C10</f>
        <v>0</v>
      </c>
      <c r="G10" s="12" t="n">
        <f aca="false">F11*Inputs!C10</f>
        <v>0</v>
      </c>
      <c r="H10" s="12" t="n">
        <f aca="false">G11*Inputs!C10</f>
        <v>0</v>
      </c>
      <c r="I10" s="12" t="n">
        <f aca="false">H11*Inputs!C10</f>
        <v>0</v>
      </c>
      <c r="J10" s="12" t="n">
        <f aca="false">I11*Inputs!C10</f>
        <v>0</v>
      </c>
      <c r="K10" s="12" t="n">
        <f aca="false">J11*Inputs!C10</f>
        <v>0</v>
      </c>
      <c r="L10" s="12" t="n">
        <f aca="false">K11*Inputs!C10</f>
        <v>0</v>
      </c>
      <c r="M10" s="12" t="n">
        <f aca="false">L11*Inputs!C10</f>
        <v>0</v>
      </c>
      <c r="N10" s="12" t="n">
        <f aca="false">SUM(B10:M10)</f>
        <v>0</v>
      </c>
    </row>
    <row r="11" customFormat="false" ht="18" hidden="false" customHeight="true" outlineLevel="0" collapsed="false">
      <c r="A11" s="6" t="s">
        <v>72</v>
      </c>
      <c r="B11" s="22" t="n">
        <f aca="false">B8-B10</f>
        <v>6</v>
      </c>
      <c r="C11" s="22" t="n">
        <f aca="false">B11+C8-C10</f>
        <v>12.6</v>
      </c>
      <c r="D11" s="22" t="n">
        <f aca="false">C11+D8-D10</f>
        <v>19.86</v>
      </c>
      <c r="E11" s="22" t="n">
        <f aca="false">D11+E8-E10</f>
        <v>27.846</v>
      </c>
      <c r="F11" s="22" t="n">
        <f aca="false">E11+F8-F10</f>
        <v>36.6306</v>
      </c>
      <c r="G11" s="22" t="n">
        <f aca="false">F11+G8-G10</f>
        <v>46.29366</v>
      </c>
      <c r="H11" s="22" t="n">
        <f aca="false">G11+H8-H10</f>
        <v>56.923026</v>
      </c>
      <c r="I11" s="22" t="n">
        <f aca="false">H11+I8-I10</f>
        <v>68.6153286</v>
      </c>
      <c r="J11" s="22" t="n">
        <f aca="false">I11+J8-J10</f>
        <v>81.47686146</v>
      </c>
      <c r="K11" s="22" t="n">
        <f aca="false">J11+K8-K10</f>
        <v>95.6245476060001</v>
      </c>
      <c r="L11" s="22" t="n">
        <f aca="false">K11+L8-L10</f>
        <v>111.1870023666</v>
      </c>
      <c r="M11" s="22" t="n">
        <f aca="false">L11+M8-M10</f>
        <v>128.30570260326</v>
      </c>
      <c r="N11" s="22" t="n">
        <f aca="false">M11</f>
        <v>128.30570260326</v>
      </c>
    </row>
    <row r="13" customFormat="false" ht="6" hidden="false" customHeight="true" outlineLevel="0" collapsed="false"/>
    <row r="14" customFormat="false" ht="19.5" hidden="false" customHeight="true" outlineLevel="0" collapsed="false">
      <c r="A14" s="18" t="s">
        <v>73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</row>
    <row r="15" customFormat="false" ht="18" hidden="false" customHeight="true" outlineLevel="0" collapsed="false">
      <c r="A15" s="3" t="s">
        <v>69</v>
      </c>
      <c r="B15" s="21" t="n">
        <f aca="false">CHOOSE(MATCH(Inputs!B3,{"Worst","Expected","Best"},0),Inputs!B26,Inputs!C26,Inputs!D26)</f>
        <v>43.2</v>
      </c>
      <c r="C15" s="21" t="n">
        <f aca="false">CHOOSE(MATCH(Inputs!B3,{"Worst","Expected","Best"},0),B15*(1+Inputs!B27),B15*(1+Inputs!C27),B15*(1+Inputs!D27))</f>
        <v>45.36</v>
      </c>
      <c r="D15" s="21" t="n">
        <f aca="false">CHOOSE(MATCH(Inputs!B3,{"Worst","Expected","Best"},0),C15*(1+Inputs!B27),C15*(1+Inputs!C27),C15*(1+Inputs!D27))</f>
        <v>47.628</v>
      </c>
      <c r="E15" s="21" t="n">
        <f aca="false">CHOOSE(MATCH(Inputs!B3,{"Worst","Expected","Best"},0),D15*(1+Inputs!B27),D15*(1+Inputs!C27),D15*(1+Inputs!D27))</f>
        <v>50.0094</v>
      </c>
      <c r="F15" s="21" t="n">
        <f aca="false">CHOOSE(MATCH(Inputs!B3,{"Worst","Expected","Best"},0),E15*(1+Inputs!B27),E15*(1+Inputs!C27),E15*(1+Inputs!D27))</f>
        <v>52.50987</v>
      </c>
      <c r="G15" s="21" t="n">
        <f aca="false">CHOOSE(MATCH(Inputs!B3,{"Worst","Expected","Best"},0),F15*(1+Inputs!B27),F15*(1+Inputs!C27),F15*(1+Inputs!D27))</f>
        <v>55.1353635</v>
      </c>
      <c r="H15" s="21" t="n">
        <f aca="false">CHOOSE(MATCH(Inputs!B3,{"Worst","Expected","Best"},0),G15*(1+Inputs!B27),G15*(1+Inputs!C27),G15*(1+Inputs!D27))</f>
        <v>57.892131675</v>
      </c>
      <c r="I15" s="21" t="n">
        <f aca="false">CHOOSE(MATCH(Inputs!B3,{"Worst","Expected","Best"},0),H15*(1+Inputs!B27),H15*(1+Inputs!C27),H15*(1+Inputs!D27))</f>
        <v>60.78673825875</v>
      </c>
      <c r="J15" s="21" t="n">
        <f aca="false">CHOOSE(MATCH(Inputs!B3,{"Worst","Expected","Best"},0),I15*(1+Inputs!B27),I15*(1+Inputs!C27),I15*(1+Inputs!D27))</f>
        <v>63.8260751716875</v>
      </c>
      <c r="K15" s="21" t="n">
        <f aca="false">CHOOSE(MATCH(Inputs!B3,{"Worst","Expected","Best"},0),J15*(1+Inputs!B27),J15*(1+Inputs!C27),J15*(1+Inputs!D27))</f>
        <v>67.0173789302719</v>
      </c>
      <c r="L15" s="21" t="n">
        <f aca="false">CHOOSE(MATCH(Inputs!B3,{"Worst","Expected","Best"},0),K15*(1+Inputs!B27),K15*(1+Inputs!C27),K15*(1+Inputs!D27))</f>
        <v>70.3682478767855</v>
      </c>
      <c r="M15" s="21" t="n">
        <f aca="false">CHOOSE(MATCH(Inputs!B3,{"Worst","Expected","Best"},0),L15*(1+Inputs!B27),L15*(1+Inputs!C27),L15*(1+Inputs!D27))</f>
        <v>73.8866602706248</v>
      </c>
      <c r="N15" s="12" t="n">
        <f aca="false">SUM(B15:M15)</f>
        <v>687.61986568312</v>
      </c>
    </row>
    <row r="16" customFormat="false" ht="18" hidden="false" customHeight="true" outlineLevel="0" collapsed="false">
      <c r="A16" s="23" t="s">
        <v>70</v>
      </c>
      <c r="B16" s="12" t="n">
        <f aca="false">B15</f>
        <v>43.2</v>
      </c>
      <c r="C16" s="12" t="n">
        <f aca="false">B16+C15</f>
        <v>88.56</v>
      </c>
      <c r="D16" s="12" t="n">
        <f aca="false">C16+D15</f>
        <v>136.188</v>
      </c>
      <c r="E16" s="12" t="n">
        <f aca="false">D16+E15</f>
        <v>186.1974</v>
      </c>
      <c r="F16" s="12" t="n">
        <f aca="false">E16+F15</f>
        <v>238.70727</v>
      </c>
      <c r="G16" s="12" t="n">
        <f aca="false">F16+G15</f>
        <v>293.8426335</v>
      </c>
      <c r="H16" s="12" t="n">
        <f aca="false">G16+H15</f>
        <v>351.734765175</v>
      </c>
      <c r="I16" s="12" t="n">
        <f aca="false">H16+I15</f>
        <v>412.52150343375</v>
      </c>
      <c r="J16" s="12" t="n">
        <f aca="false">I16+J15</f>
        <v>476.347578605438</v>
      </c>
      <c r="K16" s="12" t="n">
        <f aca="false">J16+K15</f>
        <v>543.364957535709</v>
      </c>
      <c r="L16" s="12" t="n">
        <f aca="false">K16+L15</f>
        <v>613.733205412495</v>
      </c>
      <c r="M16" s="12" t="n">
        <f aca="false">L16+M15</f>
        <v>687.61986568312</v>
      </c>
      <c r="N16" s="12" t="n">
        <f aca="false">M16</f>
        <v>687.61986568312</v>
      </c>
    </row>
    <row r="17" customFormat="false" ht="18" hidden="false" customHeight="true" outlineLevel="0" collapsed="false">
      <c r="A17" s="3" t="s">
        <v>71</v>
      </c>
      <c r="B17" s="12" t="n">
        <f aca="false">0</f>
        <v>0</v>
      </c>
      <c r="C17" s="12" t="n">
        <f aca="false">B18*Inputs!C10</f>
        <v>0</v>
      </c>
      <c r="D17" s="12" t="n">
        <f aca="false">C18*Inputs!C10</f>
        <v>0</v>
      </c>
      <c r="E17" s="12" t="n">
        <f aca="false">D18*Inputs!C10</f>
        <v>0</v>
      </c>
      <c r="F17" s="12" t="n">
        <f aca="false">E18*Inputs!C10</f>
        <v>0</v>
      </c>
      <c r="G17" s="12" t="n">
        <f aca="false">F18*Inputs!C10</f>
        <v>0</v>
      </c>
      <c r="H17" s="12" t="n">
        <f aca="false">G18*Inputs!C10</f>
        <v>0</v>
      </c>
      <c r="I17" s="12" t="n">
        <f aca="false">H18*Inputs!C10</f>
        <v>0</v>
      </c>
      <c r="J17" s="12" t="n">
        <f aca="false">I18*Inputs!C10</f>
        <v>0</v>
      </c>
      <c r="K17" s="12" t="n">
        <f aca="false">J18*Inputs!C10</f>
        <v>0</v>
      </c>
      <c r="L17" s="12" t="n">
        <f aca="false">K18*Inputs!C10</f>
        <v>0</v>
      </c>
      <c r="M17" s="12" t="n">
        <f aca="false">L18*Inputs!C10</f>
        <v>0</v>
      </c>
      <c r="N17" s="12" t="n">
        <f aca="false">SUM(B17:M17)</f>
        <v>0</v>
      </c>
    </row>
    <row r="18" customFormat="false" ht="18" hidden="false" customHeight="true" outlineLevel="0" collapsed="false">
      <c r="A18" s="24" t="s">
        <v>72</v>
      </c>
      <c r="B18" s="22" t="n">
        <f aca="false">B15-B17</f>
        <v>43.2</v>
      </c>
      <c r="C18" s="22" t="n">
        <f aca="false">B18+C15-C17</f>
        <v>88.56</v>
      </c>
      <c r="D18" s="22" t="n">
        <f aca="false">C18+D15-D17</f>
        <v>136.188</v>
      </c>
      <c r="E18" s="22" t="n">
        <f aca="false">D18+E15-E17</f>
        <v>186.1974</v>
      </c>
      <c r="F18" s="22" t="n">
        <f aca="false">E18+F15-F17</f>
        <v>238.70727</v>
      </c>
      <c r="G18" s="22" t="n">
        <f aca="false">F18+G15-G17</f>
        <v>293.8426335</v>
      </c>
      <c r="H18" s="22" t="n">
        <f aca="false">G18+H15-H17</f>
        <v>351.734765175</v>
      </c>
      <c r="I18" s="22" t="n">
        <f aca="false">H18+I15-I17</f>
        <v>412.52150343375</v>
      </c>
      <c r="J18" s="22" t="n">
        <f aca="false">I18+J15-J17</f>
        <v>476.347578605438</v>
      </c>
      <c r="K18" s="22" t="n">
        <f aca="false">J18+K15-K17</f>
        <v>543.364957535709</v>
      </c>
      <c r="L18" s="22" t="n">
        <f aca="false">K18+L15-L17</f>
        <v>613.733205412495</v>
      </c>
      <c r="M18" s="22" t="n">
        <f aca="false">L18+M15-M17</f>
        <v>687.61986568312</v>
      </c>
      <c r="N18" s="22" t="n">
        <f aca="false">M18</f>
        <v>687.61986568312</v>
      </c>
    </row>
    <row r="20" customFormat="false" ht="6" hidden="false" customHeight="true" outlineLevel="0" collapsed="false"/>
    <row r="21" customFormat="false" ht="19.5" hidden="false" customHeight="true" outlineLevel="0" collapsed="false">
      <c r="A21" s="18" t="s">
        <v>74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</row>
    <row r="22" customFormat="false" ht="18" hidden="false" customHeight="true" outlineLevel="0" collapsed="false">
      <c r="A22" s="25" t="s">
        <v>69</v>
      </c>
      <c r="B22" s="21" t="n">
        <f aca="false">CHOOSE(MATCH(Inputs!B3,{"Worst","Expected","Best"},0),Inputs!B34,Inputs!C34,Inputs!D34)</f>
        <v>18</v>
      </c>
      <c r="C22" s="21" t="n">
        <f aca="false">CHOOSE(MATCH(Inputs!B3,{"Worst","Expected","Best"},0),B22*(1+Inputs!B35),B22*(1+Inputs!C35),B22*(1+Inputs!D35))</f>
        <v>20.7</v>
      </c>
      <c r="D22" s="21" t="n">
        <f aca="false">CHOOSE(MATCH(Inputs!B3,{"Worst","Expected","Best"},0),C22*(1+Inputs!B35),C22*(1+Inputs!C35),C22*(1+Inputs!D35))</f>
        <v>23.805</v>
      </c>
      <c r="E22" s="21" t="n">
        <f aca="false">CHOOSE(MATCH(Inputs!B3,{"Worst","Expected","Best"},0),D22*(1+Inputs!B35),D22*(1+Inputs!C35),D22*(1+Inputs!D35))</f>
        <v>27.37575</v>
      </c>
      <c r="F22" s="21" t="n">
        <f aca="false">CHOOSE(MATCH(Inputs!B3,{"Worst","Expected","Best"},0),E22*(1+Inputs!B35),E22*(1+Inputs!C35),E22*(1+Inputs!D35))</f>
        <v>31.4821125</v>
      </c>
      <c r="G22" s="21" t="n">
        <f aca="false">CHOOSE(MATCH(Inputs!B3,{"Worst","Expected","Best"},0),F22*(1+Inputs!B35),F22*(1+Inputs!C35),F22*(1+Inputs!D35))</f>
        <v>36.204429375</v>
      </c>
      <c r="H22" s="21" t="n">
        <f aca="false">CHOOSE(MATCH(Inputs!B3,{"Worst","Expected","Best"},0),G22*(1+Inputs!B35),G22*(1+Inputs!C35),G22*(1+Inputs!D35))</f>
        <v>41.63509378125</v>
      </c>
      <c r="I22" s="21" t="n">
        <f aca="false">CHOOSE(MATCH(Inputs!B3,{"Worst","Expected","Best"},0),H22*(1+Inputs!B35),H22*(1+Inputs!C35),H22*(1+Inputs!D35))</f>
        <v>47.8803578484375</v>
      </c>
      <c r="J22" s="21" t="n">
        <f aca="false">CHOOSE(MATCH(Inputs!B3,{"Worst","Expected","Best"},0),I22*(1+Inputs!B35),I22*(1+Inputs!C35),I22*(1+Inputs!D35))</f>
        <v>55.0624115257031</v>
      </c>
      <c r="K22" s="21" t="n">
        <f aca="false">CHOOSE(MATCH(Inputs!B3,{"Worst","Expected","Best"},0),J22*(1+Inputs!B35),J22*(1+Inputs!C35),J22*(1+Inputs!D35))</f>
        <v>63.3217732545585</v>
      </c>
      <c r="L22" s="21" t="n">
        <f aca="false">CHOOSE(MATCH(Inputs!B3,{"Worst","Expected","Best"},0),K22*(1+Inputs!B35),K22*(1+Inputs!C35),K22*(1+Inputs!D35))</f>
        <v>72.8200392427423</v>
      </c>
      <c r="M22" s="21" t="n">
        <f aca="false">CHOOSE(MATCH(Inputs!B3,{"Worst","Expected","Best"},0),L22*(1+Inputs!B35),L22*(1+Inputs!C35),L22*(1+Inputs!D35))</f>
        <v>83.7430451291537</v>
      </c>
      <c r="N22" s="12" t="n">
        <f aca="false">SUM(B22:M22)</f>
        <v>522.030012656845</v>
      </c>
    </row>
    <row r="23" customFormat="false" ht="18" hidden="false" customHeight="true" outlineLevel="0" collapsed="false">
      <c r="A23" s="3" t="s">
        <v>70</v>
      </c>
      <c r="B23" s="12" t="n">
        <f aca="false">B22</f>
        <v>18</v>
      </c>
      <c r="C23" s="12" t="n">
        <f aca="false">B23+C22</f>
        <v>38.7</v>
      </c>
      <c r="D23" s="12" t="n">
        <f aca="false">C23+D22</f>
        <v>62.505</v>
      </c>
      <c r="E23" s="12" t="n">
        <f aca="false">D23+E22</f>
        <v>89.88075</v>
      </c>
      <c r="F23" s="12" t="n">
        <f aca="false">E23+F22</f>
        <v>121.3628625</v>
      </c>
      <c r="G23" s="12" t="n">
        <f aca="false">F23+G22</f>
        <v>157.567291875</v>
      </c>
      <c r="H23" s="12" t="n">
        <f aca="false">G23+H22</f>
        <v>199.20238565625</v>
      </c>
      <c r="I23" s="12" t="n">
        <f aca="false">H23+I22</f>
        <v>247.082743504687</v>
      </c>
      <c r="J23" s="12" t="n">
        <f aca="false">I23+J22</f>
        <v>302.14515503039</v>
      </c>
      <c r="K23" s="12" t="n">
        <f aca="false">J23+K22</f>
        <v>365.466928284949</v>
      </c>
      <c r="L23" s="12" t="n">
        <f aca="false">K23+L22</f>
        <v>438.286967527691</v>
      </c>
      <c r="M23" s="12" t="n">
        <f aca="false">L23+M22</f>
        <v>522.030012656845</v>
      </c>
      <c r="N23" s="12" t="n">
        <f aca="false">M23</f>
        <v>522.030012656845</v>
      </c>
    </row>
    <row r="24" customFormat="false" ht="18" hidden="false" customHeight="true" outlineLevel="0" collapsed="false">
      <c r="A24" s="25" t="s">
        <v>71</v>
      </c>
      <c r="B24" s="12" t="n">
        <f aca="false">0</f>
        <v>0</v>
      </c>
      <c r="C24" s="12" t="n">
        <f aca="false">B25*Inputs!C10</f>
        <v>0</v>
      </c>
      <c r="D24" s="12" t="n">
        <f aca="false">C25*Inputs!C10</f>
        <v>0</v>
      </c>
      <c r="E24" s="12" t="n">
        <f aca="false">D25*Inputs!C10</f>
        <v>0</v>
      </c>
      <c r="F24" s="12" t="n">
        <f aca="false">E25*Inputs!C10</f>
        <v>0</v>
      </c>
      <c r="G24" s="12" t="n">
        <f aca="false">F25*Inputs!C10</f>
        <v>0</v>
      </c>
      <c r="H24" s="12" t="n">
        <f aca="false">G25*Inputs!C10</f>
        <v>0</v>
      </c>
      <c r="I24" s="12" t="n">
        <f aca="false">H25*Inputs!C10</f>
        <v>0</v>
      </c>
      <c r="J24" s="12" t="n">
        <f aca="false">I25*Inputs!C10</f>
        <v>0</v>
      </c>
      <c r="K24" s="12" t="n">
        <f aca="false">J25*Inputs!C10</f>
        <v>0</v>
      </c>
      <c r="L24" s="12" t="n">
        <f aca="false">K25*Inputs!C10</f>
        <v>0</v>
      </c>
      <c r="M24" s="12" t="n">
        <f aca="false">L25*Inputs!C10</f>
        <v>0</v>
      </c>
      <c r="N24" s="12" t="n">
        <f aca="false">SUM(B24:M24)</f>
        <v>0</v>
      </c>
    </row>
    <row r="25" customFormat="false" ht="18" hidden="false" customHeight="true" outlineLevel="0" collapsed="false">
      <c r="A25" s="6" t="s">
        <v>72</v>
      </c>
      <c r="B25" s="22" t="n">
        <f aca="false">B22-B24</f>
        <v>18</v>
      </c>
      <c r="C25" s="22" t="n">
        <f aca="false">B25+C22-C24</f>
        <v>38.7</v>
      </c>
      <c r="D25" s="22" t="n">
        <f aca="false">C25+D22-D24</f>
        <v>62.505</v>
      </c>
      <c r="E25" s="22" t="n">
        <f aca="false">D25+E22-E24</f>
        <v>89.88075</v>
      </c>
      <c r="F25" s="22" t="n">
        <f aca="false">E25+F22-F24</f>
        <v>121.3628625</v>
      </c>
      <c r="G25" s="22" t="n">
        <f aca="false">F25+G22-G24</f>
        <v>157.567291875</v>
      </c>
      <c r="H25" s="22" t="n">
        <f aca="false">G25+H22-H24</f>
        <v>199.20238565625</v>
      </c>
      <c r="I25" s="22" t="n">
        <f aca="false">H25+I22-I24</f>
        <v>247.082743504687</v>
      </c>
      <c r="J25" s="22" t="n">
        <f aca="false">I25+J22-J24</f>
        <v>302.14515503039</v>
      </c>
      <c r="K25" s="22" t="n">
        <f aca="false">J25+K22-K24</f>
        <v>365.466928284949</v>
      </c>
      <c r="L25" s="22" t="n">
        <f aca="false">K25+L22-L24</f>
        <v>438.286967527691</v>
      </c>
      <c r="M25" s="22" t="n">
        <f aca="false">L25+M22-M24</f>
        <v>522.030012656845</v>
      </c>
      <c r="N25" s="22" t="n">
        <f aca="false">M25</f>
        <v>522.030012656845</v>
      </c>
    </row>
    <row r="27" customFormat="false" ht="6" hidden="false" customHeight="true" outlineLevel="0" collapsed="false"/>
    <row r="28" customFormat="false" ht="21.75" hidden="false" customHeight="true" outlineLevel="0" collapsed="false">
      <c r="A28" s="8" t="s">
        <v>75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</row>
    <row r="29" customFormat="false" ht="18" hidden="false" customHeight="true" outlineLevel="0" collapsed="false">
      <c r="A29" s="3" t="s">
        <v>76</v>
      </c>
      <c r="B29" s="12" t="n">
        <f aca="false">SUM(B8,B15,B22)</f>
        <v>67.2</v>
      </c>
      <c r="C29" s="12" t="n">
        <f aca="false">SUM(C8,C15,C22)</f>
        <v>72.66</v>
      </c>
      <c r="D29" s="12" t="n">
        <f aca="false">SUM(D8,D15,D22)</f>
        <v>78.693</v>
      </c>
      <c r="E29" s="12" t="n">
        <f aca="false">SUM(E8,E15,E22)</f>
        <v>85.37115</v>
      </c>
      <c r="F29" s="12" t="n">
        <f aca="false">SUM(F8,F15,F22)</f>
        <v>92.7765825</v>
      </c>
      <c r="G29" s="12" t="n">
        <f aca="false">SUM(G8,G15,G22)</f>
        <v>101.002852875</v>
      </c>
      <c r="H29" s="12" t="n">
        <f aca="false">SUM(H8,H15,H22)</f>
        <v>110.15659145625</v>
      </c>
      <c r="I29" s="12" t="n">
        <f aca="false">SUM(I8,I15,I22)</f>
        <v>120.359398707188</v>
      </c>
      <c r="J29" s="12" t="n">
        <f aca="false">SUM(J8,J15,J22)</f>
        <v>131.750019557391</v>
      </c>
      <c r="K29" s="12" t="n">
        <f aca="false">SUM(K8,K15,K22)</f>
        <v>144.48683833083</v>
      </c>
      <c r="L29" s="12" t="n">
        <f aca="false">SUM(L8,L15,L22)</f>
        <v>158.750741880128</v>
      </c>
      <c r="M29" s="12" t="n">
        <f aca="false">SUM(M8,M15,M22)</f>
        <v>174.748405636438</v>
      </c>
      <c r="N29" s="12" t="n">
        <f aca="false">SUM(B29:M29)</f>
        <v>1337.95558094322</v>
      </c>
    </row>
    <row r="30" customFormat="false" ht="18" hidden="false" customHeight="true" outlineLevel="0" collapsed="false">
      <c r="A30" s="26" t="s">
        <v>77</v>
      </c>
      <c r="B30" s="22" t="n">
        <f aca="false">SUM(B11,B18,B25)</f>
        <v>67.2</v>
      </c>
      <c r="C30" s="22" t="n">
        <f aca="false">SUM(C11,C18,C25)</f>
        <v>139.86</v>
      </c>
      <c r="D30" s="22" t="n">
        <f aca="false">SUM(D11,D18,D25)</f>
        <v>218.553</v>
      </c>
      <c r="E30" s="22" t="n">
        <f aca="false">SUM(E11,E18,E25)</f>
        <v>303.92415</v>
      </c>
      <c r="F30" s="22" t="n">
        <f aca="false">SUM(F11,F18,F25)</f>
        <v>396.7007325</v>
      </c>
      <c r="G30" s="22" t="n">
        <f aca="false">SUM(G11,G18,G25)</f>
        <v>497.703585375</v>
      </c>
      <c r="H30" s="22" t="n">
        <f aca="false">SUM(H11,H18,H25)</f>
        <v>607.86017683125</v>
      </c>
      <c r="I30" s="22" t="n">
        <f aca="false">SUM(I11,I18,I25)</f>
        <v>728.219575538437</v>
      </c>
      <c r="J30" s="22" t="n">
        <f aca="false">SUM(J11,J18,J25)</f>
        <v>859.969595095828</v>
      </c>
      <c r="K30" s="22" t="n">
        <f aca="false">SUM(K11,K18,K25)</f>
        <v>1004.45643342666</v>
      </c>
      <c r="L30" s="22" t="n">
        <f aca="false">SUM(L11,L18,L25)</f>
        <v>1163.20717530679</v>
      </c>
      <c r="M30" s="22" t="n">
        <f aca="false">SUM(M11,M18,M25)</f>
        <v>1337.95558094322</v>
      </c>
      <c r="N30" s="22" t="n">
        <f aca="false">M30</f>
        <v>1337.95558094322</v>
      </c>
    </row>
    <row r="31" customFormat="false" ht="18" hidden="false" customHeight="true" outlineLevel="0" collapsed="false">
      <c r="A31" s="3" t="s">
        <v>78</v>
      </c>
      <c r="B31" s="12" t="n">
        <f aca="false">CHOOSE(MATCH(Inputs!B3,{"Worst","Expected","Best"},0),Inputs!B31,Inputs!C31,Inputs!D31)</f>
        <v>15</v>
      </c>
      <c r="C31" s="12" t="n">
        <f aca="false">CHOOSE(MATCH(Inputs!B3,{"Worst","Expected","Best"},0),B31*(1+Inputs!B35),B31*(1+Inputs!C35),B31*(1+Inputs!D35))</f>
        <v>17.25</v>
      </c>
      <c r="D31" s="12" t="n">
        <f aca="false">CHOOSE(MATCH(Inputs!B3,{"Worst","Expected","Best"},0),C31*(1+Inputs!B35),C31*(1+Inputs!C35),C31*(1+Inputs!D35))</f>
        <v>19.8375</v>
      </c>
      <c r="E31" s="12" t="n">
        <f aca="false">CHOOSE(MATCH(Inputs!B3,{"Worst","Expected","Best"},0),D31*(1+Inputs!B35),D31*(1+Inputs!C35),D31*(1+Inputs!D35))</f>
        <v>22.813125</v>
      </c>
      <c r="F31" s="12" t="n">
        <f aca="false">CHOOSE(MATCH(Inputs!B3,{"Worst","Expected","Best"},0),E31*(1+Inputs!B35),E31*(1+Inputs!C35),E31*(1+Inputs!D35))</f>
        <v>26.23509375</v>
      </c>
      <c r="G31" s="12" t="n">
        <f aca="false">CHOOSE(MATCH(Inputs!B3,{"Worst","Expected","Best"},0),F31*(1+Inputs!B35),F31*(1+Inputs!C35),F31*(1+Inputs!D35))</f>
        <v>30.1703578125</v>
      </c>
      <c r="H31" s="12" t="n">
        <f aca="false">CHOOSE(MATCH(Inputs!B3,{"Worst","Expected","Best"},0),G31*(1+Inputs!B35),G31*(1+Inputs!C35),G31*(1+Inputs!D35))</f>
        <v>34.695911484375</v>
      </c>
      <c r="I31" s="12" t="n">
        <f aca="false">CHOOSE(MATCH(Inputs!B3,{"Worst","Expected","Best"},0),H31*(1+Inputs!B35),H31*(1+Inputs!C35),H31*(1+Inputs!D35))</f>
        <v>39.9002982070312</v>
      </c>
      <c r="J31" s="12" t="n">
        <f aca="false">CHOOSE(MATCH(Inputs!B3,{"Worst","Expected","Best"},0),I31*(1+Inputs!B35),I31*(1+Inputs!C35),I31*(1+Inputs!D35))</f>
        <v>45.8853429380859</v>
      </c>
      <c r="K31" s="12" t="n">
        <f aca="false">CHOOSE(MATCH(Inputs!B3,{"Worst","Expected","Best"},0),J31*(1+Inputs!B35),J31*(1+Inputs!C35),J31*(1+Inputs!D35))</f>
        <v>52.7681443787988</v>
      </c>
      <c r="L31" s="12" t="n">
        <f aca="false">CHOOSE(MATCH(Inputs!B3,{"Worst","Expected","Best"},0),K31*(1+Inputs!B35),K31*(1+Inputs!C35),K31*(1+Inputs!D35))</f>
        <v>60.6833660356186</v>
      </c>
      <c r="M31" s="12" t="n">
        <f aca="false">CHOOSE(MATCH(Inputs!B3,{"Worst","Expected","Best"},0),L31*(1+Inputs!B35),L31*(1+Inputs!C35),L31*(1+Inputs!D35))</f>
        <v>69.7858709409614</v>
      </c>
      <c r="N31" s="12" t="n">
        <f aca="false">M31</f>
        <v>69.7858709409614</v>
      </c>
    </row>
    <row r="32" customFormat="false" ht="18" hidden="false" customHeight="true" outlineLevel="0" collapsed="false">
      <c r="A32" s="27" t="s">
        <v>79</v>
      </c>
      <c r="B32" s="12" t="n">
        <f aca="false">CHOOSE(MATCH(Inputs!B3,{"Worst","Expected","Best"},0),B31*Inputs!B40,B31*Inputs!C40,B31*Inputs!D40)</f>
        <v>3.75</v>
      </c>
      <c r="C32" s="12" t="n">
        <f aca="false">CHOOSE(MATCH(Inputs!B3,{"Worst","Expected","Best"},0),C31*Inputs!B40,C31*Inputs!C40,C31*Inputs!D40)</f>
        <v>4.3125</v>
      </c>
      <c r="D32" s="12" t="n">
        <f aca="false">CHOOSE(MATCH(Inputs!B3,{"Worst","Expected","Best"},0),D31*Inputs!B40,D31*Inputs!C40,D31*Inputs!D40)</f>
        <v>4.959375</v>
      </c>
      <c r="E32" s="12" t="n">
        <f aca="false">CHOOSE(MATCH(Inputs!B3,{"Worst","Expected","Best"},0),E31*Inputs!B40,E31*Inputs!C40,E31*Inputs!D40)</f>
        <v>5.70328125</v>
      </c>
      <c r="F32" s="12" t="n">
        <f aca="false">CHOOSE(MATCH(Inputs!B3,{"Worst","Expected","Best"},0),F31*Inputs!B40,F31*Inputs!C40,F31*Inputs!D40)</f>
        <v>6.5587734375</v>
      </c>
      <c r="G32" s="12" t="n">
        <f aca="false">CHOOSE(MATCH(Inputs!B3,{"Worst","Expected","Best"},0),G31*Inputs!B40,G31*Inputs!C40,G31*Inputs!D40)</f>
        <v>7.542589453125</v>
      </c>
      <c r="H32" s="12" t="n">
        <f aca="false">CHOOSE(MATCH(Inputs!B3,{"Worst","Expected","Best"},0),H31*Inputs!B40,H31*Inputs!C40,H31*Inputs!D40)</f>
        <v>8.67397787109375</v>
      </c>
      <c r="I32" s="12" t="n">
        <f aca="false">CHOOSE(MATCH(Inputs!B3,{"Worst","Expected","Best"},0),I31*Inputs!B40,I31*Inputs!C40,I31*Inputs!D40)</f>
        <v>9.97507455175781</v>
      </c>
      <c r="J32" s="12" t="n">
        <f aca="false">CHOOSE(MATCH(Inputs!B3,{"Worst","Expected","Best"},0),J31*Inputs!B40,J31*Inputs!C40,J31*Inputs!D40)</f>
        <v>11.4713357345215</v>
      </c>
      <c r="K32" s="12" t="n">
        <f aca="false">CHOOSE(MATCH(Inputs!B3,{"Worst","Expected","Best"},0),K31*Inputs!B40,K31*Inputs!C40,K31*Inputs!D40)</f>
        <v>13.1920360946997</v>
      </c>
      <c r="L32" s="12" t="n">
        <f aca="false">CHOOSE(MATCH(Inputs!B3,{"Worst","Expected","Best"},0),L31*Inputs!B40,L31*Inputs!C40,L31*Inputs!D40)</f>
        <v>15.1708415089047</v>
      </c>
      <c r="M32" s="12" t="n">
        <f aca="false">CHOOSE(MATCH(Inputs!B3,{"Worst","Expected","Best"},0),M31*Inputs!B40,M31*Inputs!C40,M31*Inputs!D40)</f>
        <v>17.4464677352404</v>
      </c>
      <c r="N32" s="12" t="n">
        <f aca="false">M32</f>
        <v>17.4464677352404</v>
      </c>
    </row>
    <row r="33" customFormat="false" ht="18" hidden="false" customHeight="true" outlineLevel="0" collapsed="false">
      <c r="A33" s="6" t="s">
        <v>80</v>
      </c>
      <c r="B33" s="28" t="n">
        <f aca="false">CHOOSE(MATCH(Inputs!B3,{"Worst","Expected","Best"},0),B32*Inputs!B39,B32*Inputs!C39,B32*Inputs!D39)</f>
        <v>112.5</v>
      </c>
      <c r="C33" s="28" t="n">
        <f aca="false">CHOOSE(MATCH(Inputs!B3,{"Worst","Expected","Best"},0),C32*Inputs!B39,C32*Inputs!C39,C32*Inputs!D39)</f>
        <v>129.375</v>
      </c>
      <c r="D33" s="28" t="n">
        <f aca="false">CHOOSE(MATCH(Inputs!B3,{"Worst","Expected","Best"},0),D32*Inputs!B39,D32*Inputs!C39,D32*Inputs!D39)</f>
        <v>148.78125</v>
      </c>
      <c r="E33" s="28" t="n">
        <f aca="false">CHOOSE(MATCH(Inputs!B3,{"Worst","Expected","Best"},0),E32*Inputs!B39,E32*Inputs!C39,E32*Inputs!D39)</f>
        <v>171.0984375</v>
      </c>
      <c r="F33" s="28" t="n">
        <f aca="false">CHOOSE(MATCH(Inputs!B3,{"Worst","Expected","Best"},0),F32*Inputs!B39,F32*Inputs!C39,F32*Inputs!D39)</f>
        <v>196.763203125</v>
      </c>
      <c r="G33" s="28" t="n">
        <f aca="false">CHOOSE(MATCH(Inputs!B3,{"Worst","Expected","Best"},0),G32*Inputs!B39,G32*Inputs!C39,G32*Inputs!D39)</f>
        <v>226.27768359375</v>
      </c>
      <c r="H33" s="28" t="n">
        <f aca="false">CHOOSE(MATCH(Inputs!B3,{"Worst","Expected","Best"},0),H32*Inputs!B39,H32*Inputs!C39,H32*Inputs!D39)</f>
        <v>260.219336132812</v>
      </c>
      <c r="I33" s="28" t="n">
        <f aca="false">CHOOSE(MATCH(Inputs!B3,{"Worst","Expected","Best"},0),I32*Inputs!B39,I32*Inputs!C39,I32*Inputs!D39)</f>
        <v>299.252236552734</v>
      </c>
      <c r="J33" s="28" t="n">
        <f aca="false">CHOOSE(MATCH(Inputs!B3,{"Worst","Expected","Best"},0),J32*Inputs!B39,J32*Inputs!C39,J32*Inputs!D39)</f>
        <v>344.140072035644</v>
      </c>
      <c r="K33" s="28" t="n">
        <f aca="false">CHOOSE(MATCH(Inputs!B3,{"Worst","Expected","Best"},0),K32*Inputs!B39,K32*Inputs!C39,K32*Inputs!D39)</f>
        <v>395.761082840991</v>
      </c>
      <c r="L33" s="28" t="n">
        <f aca="false">CHOOSE(MATCH(Inputs!B3,{"Worst","Expected","Best"},0),L32*Inputs!B39,L32*Inputs!C39,L32*Inputs!D39)</f>
        <v>455.12524526714</v>
      </c>
      <c r="M33" s="28" t="n">
        <f aca="false">CHOOSE(MATCH(Inputs!B3,{"Worst","Expected","Best"},0),M32*Inputs!B39,M32*Inputs!C39,M32*Inputs!D39)</f>
        <v>523.394032057211</v>
      </c>
      <c r="N33" s="28" t="n">
        <f aca="false">SUM(B33:M33)</f>
        <v>3262.68757910528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3" min="2" style="0" width="14"/>
    <col collapsed="false" customWidth="true" hidden="false" outlineLevel="0" max="14" min="14" style="0" width="16"/>
  </cols>
  <sheetData>
    <row r="1" customFormat="false" ht="30" hidden="false" customHeight="true" outlineLevel="0" collapsed="false">
      <c r="A1" s="4" t="s">
        <v>81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customFormat="false" ht="6" hidden="false" customHeight="true" outlineLevel="0" collapsed="false"/>
    <row r="3" customFormat="false" ht="21.75" hidden="false" customHeight="true" outlineLevel="0" collapsed="false">
      <c r="A3" s="29" t="s">
        <v>82</v>
      </c>
      <c r="B3" s="14" t="str">
        <f aca="false">Inputs!B3</f>
        <v>Expected</v>
      </c>
    </row>
    <row r="4" customFormat="false" ht="7.5" hidden="false" customHeight="true" outlineLevel="0" collapsed="false"/>
    <row r="5" customFormat="false" ht="21.75" hidden="false" customHeight="true" outlineLevel="0" collapsed="false">
      <c r="A5" s="16" t="s">
        <v>56</v>
      </c>
      <c r="B5" s="16" t="s">
        <v>83</v>
      </c>
      <c r="C5" s="16" t="s">
        <v>84</v>
      </c>
      <c r="D5" s="16" t="s">
        <v>85</v>
      </c>
      <c r="E5" s="16" t="s">
        <v>86</v>
      </c>
      <c r="F5" s="16" t="s">
        <v>87</v>
      </c>
      <c r="G5" s="16" t="s">
        <v>88</v>
      </c>
      <c r="H5" s="16" t="s">
        <v>89</v>
      </c>
      <c r="I5" s="16" t="s">
        <v>90</v>
      </c>
      <c r="J5" s="16" t="s">
        <v>91</v>
      </c>
      <c r="K5" s="16" t="s">
        <v>92</v>
      </c>
      <c r="L5" s="16" t="s">
        <v>93</v>
      </c>
      <c r="M5" s="16" t="s">
        <v>94</v>
      </c>
      <c r="N5" s="16" t="s">
        <v>68</v>
      </c>
    </row>
    <row r="6" customFormat="false" ht="18" hidden="false" customHeight="true" outlineLevel="0" collapsed="false">
      <c r="A6" s="27" t="str">
        <f aca="false">Calculations!A29</f>
        <v>Total new users (all channels)</v>
      </c>
      <c r="B6" s="30" t="n">
        <f aca="false">Calculations!B29</f>
        <v>67.2</v>
      </c>
      <c r="C6" s="30" t="n">
        <f aca="false">Calculations!C29</f>
        <v>72.66</v>
      </c>
      <c r="D6" s="30" t="n">
        <f aca="false">Calculations!D29</f>
        <v>78.693</v>
      </c>
      <c r="E6" s="30" t="n">
        <f aca="false">Calculations!E29</f>
        <v>85.37115</v>
      </c>
      <c r="F6" s="30" t="n">
        <f aca="false">Calculations!F29</f>
        <v>92.7765825</v>
      </c>
      <c r="G6" s="30" t="n">
        <f aca="false">Calculations!G29</f>
        <v>101.002852875</v>
      </c>
      <c r="H6" s="30" t="n">
        <f aca="false">Calculations!H29</f>
        <v>110.15659145625</v>
      </c>
      <c r="I6" s="30" t="n">
        <f aca="false">Calculations!I29</f>
        <v>120.359398707188</v>
      </c>
      <c r="J6" s="30" t="n">
        <f aca="false">Calculations!J29</f>
        <v>131.750019557391</v>
      </c>
      <c r="K6" s="30" t="n">
        <f aca="false">Calculations!K29</f>
        <v>144.48683833083</v>
      </c>
      <c r="L6" s="30" t="n">
        <f aca="false">Calculations!L29</f>
        <v>158.750741880128</v>
      </c>
      <c r="M6" s="30" t="n">
        <f aca="false">Calculations!M29</f>
        <v>174.748405636438</v>
      </c>
      <c r="N6" s="30" t="n">
        <f aca="false">Calculations!N29</f>
        <v>1337.95558094322</v>
      </c>
    </row>
    <row r="7" customFormat="false" ht="18" hidden="false" customHeight="true" outlineLevel="0" collapsed="false">
      <c r="A7" s="6" t="str">
        <f aca="false">Calculations!A30</f>
        <v>Total net active users</v>
      </c>
      <c r="B7" s="21" t="n">
        <f aca="false">Calculations!B30</f>
        <v>67.2</v>
      </c>
      <c r="C7" s="21" t="n">
        <f aca="false">Calculations!C30</f>
        <v>139.86</v>
      </c>
      <c r="D7" s="21" t="n">
        <f aca="false">Calculations!D30</f>
        <v>218.553</v>
      </c>
      <c r="E7" s="21" t="n">
        <f aca="false">Calculations!E30</f>
        <v>303.92415</v>
      </c>
      <c r="F7" s="21" t="n">
        <f aca="false">Calculations!F30</f>
        <v>396.7007325</v>
      </c>
      <c r="G7" s="21" t="n">
        <f aca="false">Calculations!G30</f>
        <v>497.703585375</v>
      </c>
      <c r="H7" s="21" t="n">
        <f aca="false">Calculations!H30</f>
        <v>607.86017683125</v>
      </c>
      <c r="I7" s="21" t="n">
        <f aca="false">Calculations!I30</f>
        <v>728.219575538437</v>
      </c>
      <c r="J7" s="21" t="n">
        <f aca="false">Calculations!J30</f>
        <v>859.969595095828</v>
      </c>
      <c r="K7" s="21" t="n">
        <f aca="false">Calculations!K30</f>
        <v>1004.45643342666</v>
      </c>
      <c r="L7" s="21" t="n">
        <f aca="false">Calculations!L30</f>
        <v>1163.20717530679</v>
      </c>
      <c r="M7" s="21" t="n">
        <f aca="false">Calculations!M30</f>
        <v>1337.95558094322</v>
      </c>
      <c r="N7" s="21" t="n">
        <f aca="false">Calculations!N30</f>
        <v>1337.95558094322</v>
      </c>
    </row>
    <row r="8" customFormat="false" ht="18" hidden="false" customHeight="true" outlineLevel="0" collapsed="false">
      <c r="A8" s="27" t="str">
        <f aca="false">Calculations!A31</f>
        <v>Total active tutors (scenario)</v>
      </c>
      <c r="B8" s="30" t="n">
        <f aca="false">Calculations!B31</f>
        <v>15</v>
      </c>
      <c r="C8" s="30" t="n">
        <f aca="false">Calculations!C31</f>
        <v>17.25</v>
      </c>
      <c r="D8" s="30" t="n">
        <f aca="false">Calculations!D31</f>
        <v>19.8375</v>
      </c>
      <c r="E8" s="30" t="n">
        <f aca="false">Calculations!E31</f>
        <v>22.813125</v>
      </c>
      <c r="F8" s="30" t="n">
        <f aca="false">Calculations!F31</f>
        <v>26.23509375</v>
      </c>
      <c r="G8" s="30" t="n">
        <f aca="false">Calculations!G31</f>
        <v>30.1703578125</v>
      </c>
      <c r="H8" s="30" t="n">
        <f aca="false">Calculations!H31</f>
        <v>34.695911484375</v>
      </c>
      <c r="I8" s="30" t="n">
        <f aca="false">Calculations!I31</f>
        <v>39.9002982070312</v>
      </c>
      <c r="J8" s="30" t="n">
        <f aca="false">Calculations!J31</f>
        <v>45.8853429380859</v>
      </c>
      <c r="K8" s="30" t="n">
        <f aca="false">Calculations!K31</f>
        <v>52.7681443787988</v>
      </c>
      <c r="L8" s="30" t="n">
        <f aca="false">Calculations!L31</f>
        <v>60.6833660356186</v>
      </c>
      <c r="M8" s="30" t="n">
        <f aca="false">Calculations!M31</f>
        <v>69.7858709409614</v>
      </c>
      <c r="N8" s="30" t="n">
        <f aca="false">Calculations!N31</f>
        <v>69.7858709409614</v>
      </c>
    </row>
    <row r="9" customFormat="false" ht="18" hidden="false" customHeight="true" outlineLevel="0" collapsed="false">
      <c r="A9" s="3" t="str">
        <f aca="false">Calculations!A32</f>
        <v>Tutors on paid plan</v>
      </c>
      <c r="B9" s="21" t="n">
        <f aca="false">Calculations!B32</f>
        <v>3.75</v>
      </c>
      <c r="C9" s="21" t="n">
        <f aca="false">Calculations!C32</f>
        <v>4.3125</v>
      </c>
      <c r="D9" s="21" t="n">
        <f aca="false">Calculations!D32</f>
        <v>4.959375</v>
      </c>
      <c r="E9" s="21" t="n">
        <f aca="false">Calculations!E32</f>
        <v>5.70328125</v>
      </c>
      <c r="F9" s="21" t="n">
        <f aca="false">Calculations!F32</f>
        <v>6.5587734375</v>
      </c>
      <c r="G9" s="21" t="n">
        <f aca="false">Calculations!G32</f>
        <v>7.542589453125</v>
      </c>
      <c r="H9" s="21" t="n">
        <f aca="false">Calculations!H32</f>
        <v>8.67397787109375</v>
      </c>
      <c r="I9" s="21" t="n">
        <f aca="false">Calculations!I32</f>
        <v>9.97507455175781</v>
      </c>
      <c r="J9" s="21" t="n">
        <f aca="false">Calculations!J32</f>
        <v>11.4713357345215</v>
      </c>
      <c r="K9" s="21" t="n">
        <f aca="false">Calculations!K32</f>
        <v>13.1920360946997</v>
      </c>
      <c r="L9" s="21" t="n">
        <f aca="false">Calculations!L32</f>
        <v>15.1708415089047</v>
      </c>
      <c r="M9" s="21" t="n">
        <f aca="false">Calculations!M32</f>
        <v>17.4464677352404</v>
      </c>
      <c r="N9" s="21" t="n">
        <f aca="false">Calculations!N32</f>
        <v>17.4464677352404</v>
      </c>
    </row>
    <row r="10" customFormat="false" ht="18" hidden="false" customHeight="true" outlineLevel="0" collapsed="false">
      <c r="A10" s="26" t="str">
        <f aca="false">Calculations!A33</f>
        <v>Monthly revenue (GEL)</v>
      </c>
      <c r="B10" s="31" t="n">
        <f aca="false">Calculations!B33</f>
        <v>112.5</v>
      </c>
      <c r="C10" s="31" t="n">
        <f aca="false">Calculations!C33</f>
        <v>129.375</v>
      </c>
      <c r="D10" s="31" t="n">
        <f aca="false">Calculations!D33</f>
        <v>148.78125</v>
      </c>
      <c r="E10" s="31" t="n">
        <f aca="false">Calculations!E33</f>
        <v>171.0984375</v>
      </c>
      <c r="F10" s="31" t="n">
        <f aca="false">Calculations!F33</f>
        <v>196.763203125</v>
      </c>
      <c r="G10" s="31" t="n">
        <f aca="false">Calculations!G33</f>
        <v>226.27768359375</v>
      </c>
      <c r="H10" s="31" t="n">
        <f aca="false">Calculations!H33</f>
        <v>260.219336132812</v>
      </c>
      <c r="I10" s="31" t="n">
        <f aca="false">Calculations!I33</f>
        <v>299.252236552734</v>
      </c>
      <c r="J10" s="31" t="n">
        <f aca="false">Calculations!J33</f>
        <v>344.140072035644</v>
      </c>
      <c r="K10" s="31" t="n">
        <f aca="false">Calculations!K33</f>
        <v>395.761082840991</v>
      </c>
      <c r="L10" s="31" t="n">
        <f aca="false">Calculations!L33</f>
        <v>455.12524526714</v>
      </c>
      <c r="M10" s="31" t="n">
        <f aca="false">Calculations!M33</f>
        <v>523.394032057211</v>
      </c>
      <c r="N10" s="31" t="n">
        <f aca="false">Calculations!N33</f>
        <v>3262.68757910528</v>
      </c>
    </row>
    <row r="12" customFormat="false" ht="7.5" hidden="false" customHeight="true" outlineLevel="0" collapsed="false"/>
    <row r="13" customFormat="false" ht="21.75" hidden="false" customHeight="true" outlineLevel="0" collapsed="false">
      <c r="A13" s="8" t="s">
        <v>95</v>
      </c>
      <c r="B13" s="5"/>
      <c r="C13" s="5"/>
      <c r="D13" s="5"/>
      <c r="E13" s="5"/>
    </row>
    <row r="14" customFormat="false" ht="19.5" hidden="false" customHeight="true" outlineLevel="0" collapsed="false">
      <c r="A14" s="11" t="s">
        <v>56</v>
      </c>
      <c r="B14" s="11" t="s">
        <v>30</v>
      </c>
      <c r="C14" s="11" t="s">
        <v>19</v>
      </c>
      <c r="D14" s="11" t="s">
        <v>31</v>
      </c>
    </row>
    <row r="15" customFormat="false" ht="18" hidden="false" customHeight="true" outlineLevel="0" collapsed="false">
      <c r="A15" s="3" t="s">
        <v>96</v>
      </c>
      <c r="B15" s="32" t="n">
        <f aca="false">Inputs!B39</f>
        <v>15</v>
      </c>
      <c r="C15" s="32" t="n">
        <f aca="false">Inputs!C39</f>
        <v>30</v>
      </c>
      <c r="D15" s="32" t="n">
        <f aca="false">Inputs!D39</f>
        <v>50</v>
      </c>
    </row>
    <row r="16" customFormat="false" ht="18" hidden="false" customHeight="true" outlineLevel="0" collapsed="false">
      <c r="A16" s="27" t="s">
        <v>97</v>
      </c>
      <c r="B16" s="33" t="n">
        <f aca="false">Inputs!B8</f>
        <v>0.8</v>
      </c>
      <c r="C16" s="33" t="n">
        <f aca="false">Inputs!C8</f>
        <v>0</v>
      </c>
      <c r="D16" s="33" t="n">
        <f aca="false">Inputs!D8</f>
        <v>0</v>
      </c>
    </row>
    <row r="17" customFormat="false" ht="18" hidden="false" customHeight="true" outlineLevel="0" collapsed="false">
      <c r="A17" s="3" t="s">
        <v>98</v>
      </c>
      <c r="B17" s="34" t="n">
        <f aca="false">Inputs!B9</f>
        <v>18</v>
      </c>
      <c r="C17" s="34" t="n">
        <f aca="false">Inputs!C9</f>
        <v>0</v>
      </c>
      <c r="D17" s="34" t="n">
        <f aca="false">Inputs!D9</f>
        <v>0</v>
      </c>
    </row>
    <row r="18" customFormat="false" ht="18" hidden="false" customHeight="true" outlineLevel="0" collapsed="false">
      <c r="A18" s="26" t="s">
        <v>99</v>
      </c>
      <c r="B18" s="35" t="n">
        <f aca="false">Inputs!B39*Inputs!B8*Inputs!B9</f>
        <v>216</v>
      </c>
      <c r="C18" s="35" t="n">
        <f aca="false">Inputs!C39*Inputs!C8*Inputs!C9</f>
        <v>0</v>
      </c>
      <c r="D18" s="35" t="n">
        <f aca="false">Inputs!D39*Inputs!D8*Inputs!D9</f>
        <v>0</v>
      </c>
    </row>
    <row r="19" customFormat="false" ht="18" hidden="false" customHeight="true" outlineLevel="0" collapsed="false">
      <c r="A19" s="3" t="s">
        <v>100</v>
      </c>
      <c r="B19" s="36" t="n">
        <f aca="false">AVERAGE(Inputs!B42,Inputs!B43,Inputs!B44)</f>
        <v>7.66666666666667</v>
      </c>
      <c r="C19" s="36" t="n">
        <f aca="false">AVERAGE(Inputs!C42,Inputs!C43,Inputs!C44)</f>
        <v>3.33333333333333</v>
      </c>
      <c r="D19" s="36" t="n">
        <f aca="false">AVERAGE(Inputs!D42,Inputs!D43,Inputs!D44)</f>
        <v>1.16666666666667</v>
      </c>
    </row>
    <row r="20" customFormat="false" ht="18" hidden="false" customHeight="true" outlineLevel="0" collapsed="false">
      <c r="A20" s="26" t="s">
        <v>101</v>
      </c>
      <c r="B20" s="37" t="str">
        <f aca="false">IF(AVERAGE(Inputs!B42,Inputs!B43,Inputs!B44)=0,"-",B18/AVERAGE(Inputs!B42,Inputs!B43,Inputs!B44)&amp;":1")</f>
        <v>28.1739130434783:1</v>
      </c>
      <c r="C20" s="37" t="str">
        <f aca="false">IF(AVERAGE(Inputs!C42,Inputs!C43,Inputs!C44)=0,"-",C18/AVERAGE(Inputs!C42,Inputs!C43,Inputs!C44)&amp;":1")</f>
        <v>0:1</v>
      </c>
      <c r="D20" s="37" t="str">
        <f aca="false">IF(AVERAGE(Inputs!D42,Inputs!D43,Inputs!D44)=0,"-",D18/AVERAGE(Inputs!D42,Inputs!D43,Inputs!D44)&amp;":1")</f>
        <v>0:1</v>
      </c>
    </row>
    <row r="21" customFormat="false" ht="18" hidden="false" customHeight="true" outlineLevel="0" collapsed="false">
      <c r="A21" s="6" t="s">
        <v>102</v>
      </c>
      <c r="B21" s="38" t="str">
        <f aca="false">IF(Inputs!B39*Inputs!B8=0,"-",TEXT(AVERAGE(Inputs!B42,Inputs!B43,Inputs!B44)/(Inputs!B39*Inputs!B8),"0.0")&amp;" mo")</f>
        <v>0.6 mo</v>
      </c>
      <c r="C21" s="38" t="str">
        <f aca="false">IF(Inputs!C39*Inputs!C8=0,"-",TEXT(AVERAGE(Inputs!C42,Inputs!C43,Inputs!C44)/(Inputs!C39*Inputs!C8),"0.0")&amp;" mo")</f>
        <v>-</v>
      </c>
      <c r="D21" s="38" t="str">
        <f aca="false">IF(Inputs!D39*Inputs!D8=0,"-",TEXT(AVERAGE(Inputs!D42,Inputs!D43,Inputs!D44)/(Inputs!D39*Inputs!D8),"0.0")&amp;" mo")</f>
        <v>-</v>
      </c>
    </row>
    <row r="23" customFormat="false" ht="7.5" hidden="false" customHeight="true" outlineLevel="0" collapsed="false"/>
    <row r="24" customFormat="false" ht="21.75" hidden="false" customHeight="true" outlineLevel="0" collapsed="false">
      <c r="A24" s="39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2026-06-06T17:27:34Z</dcterms:created>
  <dc:creator>openpyxl</dc:creator>
  <dc:description/>
  <dc:language>en-US</dc:language>
  <cp:lastModifiedBy/>
  <dcterms:modified xsi:type="dcterms:W3CDTF">2026-06-06T17:27:42Z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